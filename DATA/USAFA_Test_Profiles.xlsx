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tchellrose/Desktop/AI Foundations/Final Project/"/>
    </mc:Choice>
  </mc:AlternateContent>
  <xr:revisionPtr revIDLastSave="0" documentId="8_{47C009FE-9B3C-4649-9E9B-35456067C444}" xr6:coauthVersionLast="47" xr6:coauthVersionMax="47" xr10:uidLastSave="{00000000-0000-0000-0000-000000000000}"/>
  <bookViews>
    <workbookView xWindow="0" yWindow="680" windowWidth="30900" windowHeight="18960" tabRatio="500" xr2:uid="{00000000-000D-0000-FFFF-FFFF00000000}"/>
  </bookViews>
  <sheets>
    <sheet name="Profiles" sheetId="1" r:id="rId1"/>
    <sheet name="AFSC Reference" sheetId="2" r:id="rId2"/>
    <sheet name="Summary" sheetId="3" r:id="rId3"/>
    <sheet name="Notes" sheetId="4" r:id="rId4"/>
  </sheets>
  <definedNames>
    <definedName name="_xlnm._FilterDatabase" localSheetId="0" hidden="1">Profiles!$A$1:$K$101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3" l="1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40" i="3" s="1"/>
  <c r="B15" i="3"/>
  <c r="B14" i="3"/>
  <c r="B13" i="3"/>
  <c r="B12" i="3"/>
  <c r="B11" i="3"/>
  <c r="B10" i="3"/>
  <c r="B16" i="3" s="1"/>
  <c r="B6" i="3"/>
  <c r="B5" i="3"/>
  <c r="B4" i="3"/>
  <c r="B7" i="3" s="1"/>
</calcChain>
</file>

<file path=xl/sharedStrings.xml><?xml version="1.0" encoding="utf-8"?>
<sst xmlns="http://schemas.openxmlformats.org/spreadsheetml/2006/main" count="1151" uniqueCount="660">
  <si>
    <t>Profile ID</t>
  </si>
  <si>
    <t>First Name</t>
  </si>
  <si>
    <t>Last Name</t>
  </si>
  <si>
    <t>Email</t>
  </si>
  <si>
    <t>Phone</t>
  </si>
  <si>
    <t>Class Year</t>
  </si>
  <si>
    <t>Military Status</t>
  </si>
  <si>
    <t>Officer Rank</t>
  </si>
  <si>
    <t>AFSC</t>
  </si>
  <si>
    <t>Job Title</t>
  </si>
  <si>
    <t>Current Base / Working City</t>
  </si>
  <si>
    <t>USAFA-0001</t>
  </si>
  <si>
    <t>Marcus</t>
  </si>
  <si>
    <t>Bennett</t>
  </si>
  <si>
    <t>marcus.bennett@us.af.example</t>
  </si>
  <si>
    <t>(303) 555-0182</t>
  </si>
  <si>
    <t>Active Duty</t>
  </si>
  <si>
    <t>O-6</t>
  </si>
  <si>
    <t>61D1</t>
  </si>
  <si>
    <t>Commander, Physics Group</t>
  </si>
  <si>
    <t>Edwards AFB, CA</t>
  </si>
  <si>
    <t>USAFA-0002</t>
  </si>
  <si>
    <t>Patrick</t>
  </si>
  <si>
    <t>Lambert</t>
  </si>
  <si>
    <t>patrick.lambert@example.org</t>
  </si>
  <si>
    <t>(719) 555-0155</t>
  </si>
  <si>
    <t>Civilian</t>
  </si>
  <si>
    <t>O-4</t>
  </si>
  <si>
    <t>92T0</t>
  </si>
  <si>
    <t>Airline Captain</t>
  </si>
  <si>
    <t>Omaha, NE</t>
  </si>
  <si>
    <t>USAFA-0003</t>
  </si>
  <si>
    <t>Colin</t>
  </si>
  <si>
    <t>Novak</t>
  </si>
  <si>
    <t>colin.novak@example.net</t>
  </si>
  <si>
    <t>(972) 555-0124</t>
  </si>
  <si>
    <t>O-5</t>
  </si>
  <si>
    <t>62E1G</t>
  </si>
  <si>
    <t>Systems Engineer</t>
  </si>
  <si>
    <t>Louisville, KY</t>
  </si>
  <si>
    <t>USAFA-0004</t>
  </si>
  <si>
    <t>Daniel</t>
  </si>
  <si>
    <t>Ortiz</t>
  </si>
  <si>
    <t>daniel.ortiz@example.com</t>
  </si>
  <si>
    <t>(702) 555-0154</t>
  </si>
  <si>
    <t>21A1</t>
  </si>
  <si>
    <t>Airline Maintenance Planner</t>
  </si>
  <si>
    <t>Salt Lake City, UT</t>
  </si>
  <si>
    <t>USAFA-0005</t>
  </si>
  <si>
    <t>Hiroshi</t>
  </si>
  <si>
    <t>Walsh</t>
  </si>
  <si>
    <t>hiroshi.walsh@us.af.example</t>
  </si>
  <si>
    <t>(918) 555-0103</t>
  </si>
  <si>
    <t>71S1</t>
  </si>
  <si>
    <t>Chief, Special Investigations Division</t>
  </si>
  <si>
    <t>Quantico, VA</t>
  </si>
  <si>
    <t>USAFA-0006</t>
  </si>
  <si>
    <t>Andrew</t>
  </si>
  <si>
    <t>Harper</t>
  </si>
  <si>
    <t>andrew.harper@us.af.example</t>
  </si>
  <si>
    <t>(210) 555-0170</t>
  </si>
  <si>
    <t>Chief, Aircraft Maintenance Division</t>
  </si>
  <si>
    <t>Aviano AB, Italy</t>
  </si>
  <si>
    <t>USAFA-0007</t>
  </si>
  <si>
    <t>Matthew</t>
  </si>
  <si>
    <t>Hartley</t>
  </si>
  <si>
    <t>matthew.hartley@example.org</t>
  </si>
  <si>
    <t>(303) 555-0118</t>
  </si>
  <si>
    <t>Supply Chain Manager</t>
  </si>
  <si>
    <t>San Antonio, TX</t>
  </si>
  <si>
    <t>USAFA-0008</t>
  </si>
  <si>
    <t>Owen</t>
  </si>
  <si>
    <t>Patel</t>
  </si>
  <si>
    <t>owen.patel@afrc.example</t>
  </si>
  <si>
    <t>(210) 555-0199</t>
  </si>
  <si>
    <t>Reserve</t>
  </si>
  <si>
    <t>14N1</t>
  </si>
  <si>
    <t>Chief, Intelligence Division</t>
  </si>
  <si>
    <t>Nellis AFB, NV</t>
  </si>
  <si>
    <t>USAFA-0009</t>
  </si>
  <si>
    <t>Whitfield</t>
  </si>
  <si>
    <t>colin.whitfield@example.org</t>
  </si>
  <si>
    <t>(757) 555-0181</t>
  </si>
  <si>
    <t>13N1</t>
  </si>
  <si>
    <t>Defense Contractor Systems Analyst</t>
  </si>
  <si>
    <t>Chicago, IL</t>
  </si>
  <si>
    <t>USAFA-0010</t>
  </si>
  <si>
    <t>Omar</t>
  </si>
  <si>
    <t>Yamamoto</t>
  </si>
  <si>
    <t>omar.yamamoto@example.com</t>
  </si>
  <si>
    <t>(205) 555-0134</t>
  </si>
  <si>
    <t>92T3</t>
  </si>
  <si>
    <t>Remote Sensing Pilot</t>
  </si>
  <si>
    <t>Tampa, FL</t>
  </si>
  <si>
    <t>USAFA-0011</t>
  </si>
  <si>
    <t>Lucas</t>
  </si>
  <si>
    <t>Iverson</t>
  </si>
  <si>
    <t>lucas.iverson@example.com</t>
  </si>
  <si>
    <t>(301) 555-0136</t>
  </si>
  <si>
    <t>Risk Analyst</t>
  </si>
  <si>
    <t>Austin, TX</t>
  </si>
  <si>
    <t>USAFA-0012</t>
  </si>
  <si>
    <t>Javier</t>
  </si>
  <si>
    <t>Jackson</t>
  </si>
  <si>
    <t>javier.jackson@example.com</t>
  </si>
  <si>
    <t>(303) 555-0146</t>
  </si>
  <si>
    <t>Commander, Intelligence Squadron</t>
  </si>
  <si>
    <t>Joint Base Langley-Eustis, VA</t>
  </si>
  <si>
    <t>USAFA-0013</t>
  </si>
  <si>
    <t>Joshua</t>
  </si>
  <si>
    <t>Jordan</t>
  </si>
  <si>
    <t>joshua.jordan@example.org</t>
  </si>
  <si>
    <t>(480) 555-0150</t>
  </si>
  <si>
    <t>13C1</t>
  </si>
  <si>
    <t>Defense Contractor Training Lead</t>
  </si>
  <si>
    <t>Nashville, TN</t>
  </si>
  <si>
    <t>USAFA-0014</t>
  </si>
  <si>
    <t>Isaiah</t>
  </si>
  <si>
    <t>Owens</t>
  </si>
  <si>
    <t>isaiah.owens@afrc.example</t>
  </si>
  <si>
    <t>(703) 555-0101</t>
  </si>
  <si>
    <t>63A1</t>
  </si>
  <si>
    <t>Senior Materiel Leader, Acquisition</t>
  </si>
  <si>
    <t>Hill AFB, UT</t>
  </si>
  <si>
    <t>USAFA-0015</t>
  </si>
  <si>
    <t>Dominic</t>
  </si>
  <si>
    <t>Rhodes</t>
  </si>
  <si>
    <t>dominic.rhodes@example.net</t>
  </si>
  <si>
    <t>(575) 555-0161</t>
  </si>
  <si>
    <t>Huntsville, AL</t>
  </si>
  <si>
    <t>USAFA-0016</t>
  </si>
  <si>
    <t>Derek</t>
  </si>
  <si>
    <t>Palmer</t>
  </si>
  <si>
    <t>derek.palmer@us.af.example</t>
  </si>
  <si>
    <t>(719) 555-0166</t>
  </si>
  <si>
    <t>Division Chief, Acquisition</t>
  </si>
  <si>
    <t>Robins AFB, GA</t>
  </si>
  <si>
    <t>USAFA-0017</t>
  </si>
  <si>
    <t>Isaac</t>
  </si>
  <si>
    <t>Sullivan</t>
  </si>
  <si>
    <t>isaac.sullivan@us.af.example</t>
  </si>
  <si>
    <t>(808) 555-0158</t>
  </si>
  <si>
    <t>Deputy Commander, Intelligence Group</t>
  </si>
  <si>
    <t>USAFA-0018</t>
  </si>
  <si>
    <t>Jamal</t>
  </si>
  <si>
    <t>Thompson</t>
  </si>
  <si>
    <t>jamal.thompson@afrc.example</t>
  </si>
  <si>
    <t>(303) 555-0190</t>
  </si>
  <si>
    <t>41A1</t>
  </si>
  <si>
    <t>Commander, Health Services Administration Squadron</t>
  </si>
  <si>
    <t>Eglin AFB, FL</t>
  </si>
  <si>
    <t>USAFA-0019</t>
  </si>
  <si>
    <t>Zimmerman</t>
  </si>
  <si>
    <t>daniel.zimmerman@us.af.example</t>
  </si>
  <si>
    <t>(850) 555-0145</t>
  </si>
  <si>
    <t>Offutt AFB, NE</t>
  </si>
  <si>
    <t>USAFA-0020</t>
  </si>
  <si>
    <t>Samuel</t>
  </si>
  <si>
    <t>Delgado</t>
  </si>
  <si>
    <t>samuel.delgado@example.net</t>
  </si>
  <si>
    <t>(303) 555-0162</t>
  </si>
  <si>
    <t>21R1</t>
  </si>
  <si>
    <t>Transportation Operations Director</t>
  </si>
  <si>
    <t>Dayton, OH</t>
  </si>
  <si>
    <t>USAFA-0021</t>
  </si>
  <si>
    <t>Nathan</t>
  </si>
  <si>
    <t>Morgan</t>
  </si>
  <si>
    <t>nathan.morgan@afrc.example</t>
  </si>
  <si>
    <t>(402) 555-0117</t>
  </si>
  <si>
    <t>USAFA-0022</t>
  </si>
  <si>
    <t>Michael</t>
  </si>
  <si>
    <t>Nguyen</t>
  </si>
  <si>
    <t>michael.nguyen@example.com</t>
  </si>
  <si>
    <t>(808) 555-0113</t>
  </si>
  <si>
    <t>O-3</t>
  </si>
  <si>
    <t>17D1</t>
  </si>
  <si>
    <t>IT Project Manager</t>
  </si>
  <si>
    <t>Denver, CO</t>
  </si>
  <si>
    <t>USAFA-0023</t>
  </si>
  <si>
    <t>Caleb</t>
  </si>
  <si>
    <t>Reyes</t>
  </si>
  <si>
    <t>caleb.reyes@us.af.example</t>
  </si>
  <si>
    <t>(702) 555-0193</t>
  </si>
  <si>
    <t>43A1</t>
  </si>
  <si>
    <t>Technical Lead, Aerospace Physiology</t>
  </si>
  <si>
    <t>Joint Base San Antonio-Brooks, TX</t>
  </si>
  <si>
    <t>USAFA-0024</t>
  </si>
  <si>
    <t>Alejandro</t>
  </si>
  <si>
    <t>Tran</t>
  </si>
  <si>
    <t>alejandro.tran@us.af.example</t>
  </si>
  <si>
    <t>(937) 555-0171</t>
  </si>
  <si>
    <t>Squadron Director of Operations</t>
  </si>
  <si>
    <t>Barksdale AFB, LA</t>
  </si>
  <si>
    <t>USAFA-0025</t>
  </si>
  <si>
    <t>Tariq</t>
  </si>
  <si>
    <t>tariq.lambert@us.af.example</t>
  </si>
  <si>
    <t>(619) 555-0128</t>
  </si>
  <si>
    <t>Chief, Cyberspace Operations Division</t>
  </si>
  <si>
    <t>Keesler AFB, MS</t>
  </si>
  <si>
    <t>USAFA-0026</t>
  </si>
  <si>
    <t>Murphy</t>
  </si>
  <si>
    <t>lucas.murphy@example.com</t>
  </si>
  <si>
    <t>(850) 555-0191</t>
  </si>
  <si>
    <t>Albuquerque, NM</t>
  </si>
  <si>
    <t>USAFA-0027</t>
  </si>
  <si>
    <t>Brandon</t>
  </si>
  <si>
    <t>brandon.palmer@example.org</t>
  </si>
  <si>
    <t>(210) 555-0183</t>
  </si>
  <si>
    <t>Airline First Officer</t>
  </si>
  <si>
    <t>Washington, DC</t>
  </si>
  <si>
    <t>USAFA-0028</t>
  </si>
  <si>
    <t>Keith</t>
  </si>
  <si>
    <t>Underwood</t>
  </si>
  <si>
    <t>keith.underwood@example.com</t>
  </si>
  <si>
    <t>(918) 555-0148</t>
  </si>
  <si>
    <t>61A1</t>
  </si>
  <si>
    <t>Commander, Operations Research Squadron</t>
  </si>
  <si>
    <t>USAFA-0029</t>
  </si>
  <si>
    <t>Alexander</t>
  </si>
  <si>
    <t>Walker</t>
  </si>
  <si>
    <t>alexander.walker@example.org</t>
  </si>
  <si>
    <t>(402) 555-0106</t>
  </si>
  <si>
    <t>USAFA-0030</t>
  </si>
  <si>
    <t>Cole</t>
  </si>
  <si>
    <t>daniel.cole@us.af.example</t>
  </si>
  <si>
    <t>(402) 555-0141</t>
  </si>
  <si>
    <t>13S1</t>
  </si>
  <si>
    <t>Staff Officer, Space Operations (MAJCOM)</t>
  </si>
  <si>
    <t>Schriever SFB, CO</t>
  </si>
  <si>
    <t>USAFA-0031</t>
  </si>
  <si>
    <t>Carlos</t>
  </si>
  <si>
    <t>Flores</t>
  </si>
  <si>
    <t>carlos.flores@us.af.example</t>
  </si>
  <si>
    <t>(575) 555-0132</t>
  </si>
  <si>
    <t>Commander, Acquisition Squadron</t>
  </si>
  <si>
    <t>USAFA-0032</t>
  </si>
  <si>
    <t>Kenji</t>
  </si>
  <si>
    <t>Keller</t>
  </si>
  <si>
    <t>kenji.keller@us.af.example</t>
  </si>
  <si>
    <t>(918) 555-0110</t>
  </si>
  <si>
    <t>Operations Officer, Intelligence Squadron</t>
  </si>
  <si>
    <t>Wright-Patterson AFB, OH</t>
  </si>
  <si>
    <t>USAFA-0033</t>
  </si>
  <si>
    <t>Lawson</t>
  </si>
  <si>
    <t>colin.lawson@us.af.example</t>
  </si>
  <si>
    <t>(719) 555-0159</t>
  </si>
  <si>
    <t>92T2</t>
  </si>
  <si>
    <t>Flight Commander</t>
  </si>
  <si>
    <t>USAFA-0034</t>
  </si>
  <si>
    <t>Webb</t>
  </si>
  <si>
    <t>samuel.webb@example.org</t>
  </si>
  <si>
    <t>(301) 555-0167</t>
  </si>
  <si>
    <t>62E1B</t>
  </si>
  <si>
    <t>Space Systems Engineer</t>
  </si>
  <si>
    <t>Los Angeles, CA</t>
  </si>
  <si>
    <t>USAFA-0035</t>
  </si>
  <si>
    <t>Brooks</t>
  </si>
  <si>
    <t>colin.brooks@us.af.example</t>
  </si>
  <si>
    <t>(702) 555-0144</t>
  </si>
  <si>
    <t>Program Manager, Project Engineering</t>
  </si>
  <si>
    <t>USAFA-0036</t>
  </si>
  <si>
    <t>Tyler</t>
  </si>
  <si>
    <t>Ingram</t>
  </si>
  <si>
    <t>tyler.ingram@example.com</t>
  </si>
  <si>
    <t>(210) 555-0112</t>
  </si>
  <si>
    <t>Langley AFB, VA</t>
  </si>
  <si>
    <t>USAFA-0037</t>
  </si>
  <si>
    <t>Ryan</t>
  </si>
  <si>
    <t>Mitchell</t>
  </si>
  <si>
    <t>ryan.mitchell@us.af.example</t>
  </si>
  <si>
    <t>(703) 555-0135</t>
  </si>
  <si>
    <t>Staff Officer, Aircraft Maintenance (MAJCOM)</t>
  </si>
  <si>
    <t>USAFA-0038</t>
  </si>
  <si>
    <t>Henry</t>
  </si>
  <si>
    <t>henry.nguyen@us.af.example</t>
  </si>
  <si>
    <t>(850) 555-0177</t>
  </si>
  <si>
    <t>31P1</t>
  </si>
  <si>
    <t>Staff Officer, Security Forces (MAJCOM)</t>
  </si>
  <si>
    <t>USAFA-0039</t>
  </si>
  <si>
    <t>Dylan</t>
  </si>
  <si>
    <t>Sandoval</t>
  </si>
  <si>
    <t>dylan.sandoval@example.com</t>
  </si>
  <si>
    <t>(303) 555-0102</t>
  </si>
  <si>
    <t>Technical Lead, Operations Research</t>
  </si>
  <si>
    <t>Joint Base San Antonio-Lackland, TX</t>
  </si>
  <si>
    <t>USAFA-0040</t>
  </si>
  <si>
    <t>Ethan</t>
  </si>
  <si>
    <t>Bishop</t>
  </si>
  <si>
    <t>ethan.bishop@us.af.example</t>
  </si>
  <si>
    <t>(703) 555-0105</t>
  </si>
  <si>
    <t>USAFA-0041</t>
  </si>
  <si>
    <t>Hayes</t>
  </si>
  <si>
    <t>nathan.hayes@example.net</t>
  </si>
  <si>
    <t>(808) 555-0137</t>
  </si>
  <si>
    <t>62E1E</t>
  </si>
  <si>
    <t>Hardware Engineer</t>
  </si>
  <si>
    <t>Houston, TX</t>
  </si>
  <si>
    <t>USAFA-0042</t>
  </si>
  <si>
    <t>Pierce</t>
  </si>
  <si>
    <t>isaiah.pierce@us.af.example</t>
  </si>
  <si>
    <t>(937) 555-0185</t>
  </si>
  <si>
    <t>32E1G</t>
  </si>
  <si>
    <t>Chief, Civil Engineer Plans &amp; Programs</t>
  </si>
  <si>
    <t>Peterson SFB, CO</t>
  </si>
  <si>
    <t>USAFA-0043</t>
  </si>
  <si>
    <t>Wei</t>
  </si>
  <si>
    <t>wei.pierce@us.af.example</t>
  </si>
  <si>
    <t>(703) 555-0104</t>
  </si>
  <si>
    <t>MQ-9 Weapons Officer</t>
  </si>
  <si>
    <t>Ellsworth AFB, SD</t>
  </si>
  <si>
    <t>USAFA-0044</t>
  </si>
  <si>
    <t>Stewart</t>
  </si>
  <si>
    <t>patrick.stewart@us.af.example</t>
  </si>
  <si>
    <t>(850) 555-0133</t>
  </si>
  <si>
    <t>Staff Officer, Civil Engineer (MAJCOM)</t>
  </si>
  <si>
    <t>Tinker AFB, OK</t>
  </si>
  <si>
    <t>USAFA-0045</t>
  </si>
  <si>
    <t>samuel.harper@us.af.example</t>
  </si>
  <si>
    <t>(210) 555-0175</t>
  </si>
  <si>
    <t>Chief, Logistics Readiness Plans &amp; Programs</t>
  </si>
  <si>
    <t>USAFA-0046</t>
  </si>
  <si>
    <t>Gabriel</t>
  </si>
  <si>
    <t>gabriel.hayes@us.af.example</t>
  </si>
  <si>
    <t>(702) 555-0189</t>
  </si>
  <si>
    <t>35P1</t>
  </si>
  <si>
    <t>Chief, Public Affairs Plans &amp; Programs</t>
  </si>
  <si>
    <t>Joint Base San Antonio-Randolph, TX</t>
  </si>
  <si>
    <t>USAFA-0047</t>
  </si>
  <si>
    <t>Russell</t>
  </si>
  <si>
    <t>russell.patel@afrc.example</t>
  </si>
  <si>
    <t>(619) 555-0176</t>
  </si>
  <si>
    <t>Operations Officer, Public Affairs Squadron</t>
  </si>
  <si>
    <t>Joint Base Pearl Harbor-Hickam, HI</t>
  </si>
  <si>
    <t>USAFA-0048</t>
  </si>
  <si>
    <t>Raymond</t>
  </si>
  <si>
    <t>raymond.pierce@us.af.example</t>
  </si>
  <si>
    <t>(402) 555-0197</t>
  </si>
  <si>
    <t>USAFA-0049</t>
  </si>
  <si>
    <t>Justin</t>
  </si>
  <si>
    <t>Quinn</t>
  </si>
  <si>
    <t>justin.quinn@us.af.example</t>
  </si>
  <si>
    <t>(210) 555-0151</t>
  </si>
  <si>
    <t>Chief, Nuclear &amp; Missile Operations Plans &amp; Programs</t>
  </si>
  <si>
    <t>USAFA-0050</t>
  </si>
  <si>
    <t>Evan</t>
  </si>
  <si>
    <t>evan.ingram@afrc.example</t>
  </si>
  <si>
    <t>(619) 555-0194</t>
  </si>
  <si>
    <t>62E1A</t>
  </si>
  <si>
    <t>Branch Chief, Aeronautical Engineering</t>
  </si>
  <si>
    <t>Los Angeles AFB, CA</t>
  </si>
  <si>
    <t>USAFA-0051</t>
  </si>
  <si>
    <t>Victor</t>
  </si>
  <si>
    <t>Norris</t>
  </si>
  <si>
    <t>victor.norris@us.af.example</t>
  </si>
  <si>
    <t>(210) 555-0196</t>
  </si>
  <si>
    <t>Operations Officer, Security Forces Squadron</t>
  </si>
  <si>
    <t>Kirtland AFB, NM</t>
  </si>
  <si>
    <t>USAFA-0052</t>
  </si>
  <si>
    <t>Miguel</t>
  </si>
  <si>
    <t>miguel.novak@us.af.example</t>
  </si>
  <si>
    <t>(808) 555-0129</t>
  </si>
  <si>
    <t>92T1</t>
  </si>
  <si>
    <t>Standardization/Evaluation CSO</t>
  </si>
  <si>
    <t>Seymour Johnson AFB, NC</t>
  </si>
  <si>
    <t>USAFA-0053</t>
  </si>
  <si>
    <t>isaiah.yamamoto@us.af.example</t>
  </si>
  <si>
    <t>(210) 555-0139</t>
  </si>
  <si>
    <t>62E1C</t>
  </si>
  <si>
    <t>Program Manager, Computer Systems Engineering</t>
  </si>
  <si>
    <t>USAFA-0054</t>
  </si>
  <si>
    <t>Joseph</t>
  </si>
  <si>
    <t>Dixon</t>
  </si>
  <si>
    <t>joseph.dixon@us.af.example</t>
  </si>
  <si>
    <t>(303) 555-0130</t>
  </si>
  <si>
    <t>Branch Chief, Astronautical Engineering</t>
  </si>
  <si>
    <t>USAFA-0055</t>
  </si>
  <si>
    <t>raymond.reyes@afrc.example</t>
  </si>
  <si>
    <t>(210) 555-0192</t>
  </si>
  <si>
    <t>Luke AFB, AZ</t>
  </si>
  <si>
    <t>USAFA-0056</t>
  </si>
  <si>
    <t>tyler.walsh@example.com</t>
  </si>
  <si>
    <t>(702) 555-0186</t>
  </si>
  <si>
    <t>15W1</t>
  </si>
  <si>
    <t>Meteorologist</t>
  </si>
  <si>
    <t>USAFA-0057</t>
  </si>
  <si>
    <t>James</t>
  </si>
  <si>
    <t>james.webb@us.af.example</t>
  </si>
  <si>
    <t>(972) 555-0109</t>
  </si>
  <si>
    <t>Assistant Director of Logistics Readiness</t>
  </si>
  <si>
    <t>Dover AFB, DE</t>
  </si>
  <si>
    <t>USAFA-0058</t>
  </si>
  <si>
    <t>Young</t>
  </si>
  <si>
    <t>joseph.young@us.af.example</t>
  </si>
  <si>
    <t>(210) 555-0120</t>
  </si>
  <si>
    <t>13L1</t>
  </si>
  <si>
    <t>Chief, Air Liaison Plans &amp; Programs</t>
  </si>
  <si>
    <t>Joint Base Lewis-McChord, WA</t>
  </si>
  <si>
    <t>USAFA-0059</t>
  </si>
  <si>
    <t>brandon.brooks@us.af.example</t>
  </si>
  <si>
    <t>(205) 555-0108</t>
  </si>
  <si>
    <t>13M1</t>
  </si>
  <si>
    <t>Assistant Director of Airfield Operations</t>
  </si>
  <si>
    <t>USAFA-0060</t>
  </si>
  <si>
    <t>Sean</t>
  </si>
  <si>
    <t>sean.hartley@us.af.example</t>
  </si>
  <si>
    <t>(937) 555-0165</t>
  </si>
  <si>
    <t>Program Manager, Aerospace Physiology</t>
  </si>
  <si>
    <t>USAFA-0061</t>
  </si>
  <si>
    <t>hiroshi.ingram@us.af.example</t>
  </si>
  <si>
    <t>(850) 555-0153</t>
  </si>
  <si>
    <t>Technical Lead, Electrical Engineering</t>
  </si>
  <si>
    <t>USAFA-0062</t>
  </si>
  <si>
    <t>victor.quinn@us.af.example</t>
  </si>
  <si>
    <t>(937) 555-0125</t>
  </si>
  <si>
    <t>Shaw AFB, SC</t>
  </si>
  <si>
    <t>USAFA-0063</t>
  </si>
  <si>
    <t>andrew.walsh@us.af.example</t>
  </si>
  <si>
    <t>(703) 555-0160</t>
  </si>
  <si>
    <t>F-16 Pilot</t>
  </si>
  <si>
    <t>Beale AFB, CA</t>
  </si>
  <si>
    <t>USAFA-0064</t>
  </si>
  <si>
    <t>Evans</t>
  </si>
  <si>
    <t>lucas.evans@example.com</t>
  </si>
  <si>
    <t>(702) 555-0168</t>
  </si>
  <si>
    <t>Communications Director</t>
  </si>
  <si>
    <t>Arlington, VA</t>
  </si>
  <si>
    <t>USAFA-0065</t>
  </si>
  <si>
    <t>Ibrahim</t>
  </si>
  <si>
    <t>daniel.ibrahim@us.af.example</t>
  </si>
  <si>
    <t>(719) 555-0174</t>
  </si>
  <si>
    <t>Intelligence Officer</t>
  </si>
  <si>
    <t>USAFA-0066</t>
  </si>
  <si>
    <t>russell.sandoval@us.af.example</t>
  </si>
  <si>
    <t>(205) 555-0116</t>
  </si>
  <si>
    <t>USAFA-0067</t>
  </si>
  <si>
    <t>Miles</t>
  </si>
  <si>
    <t>miles.tran@us.af.example</t>
  </si>
  <si>
    <t>(210) 555-0140</t>
  </si>
  <si>
    <t>Executive Officer, Security Forces Squadron</t>
  </si>
  <si>
    <t>Joint Base Andrews, MD</t>
  </si>
  <si>
    <t>USAFA-0068</t>
  </si>
  <si>
    <t>Vega</t>
  </si>
  <si>
    <t>wei.vega@example.org</t>
  </si>
  <si>
    <t>(972) 555-0173</t>
  </si>
  <si>
    <t>Aviation Safety Specialist</t>
  </si>
  <si>
    <t>USAFA-0069</t>
  </si>
  <si>
    <t>dominic.bennett@example.org</t>
  </si>
  <si>
    <t>(703) 555-0157</t>
  </si>
  <si>
    <t>Satellite Systems Engineer</t>
  </si>
  <si>
    <t>USAFA-0070</t>
  </si>
  <si>
    <t>Trevor</t>
  </si>
  <si>
    <t>trevor.ingram@example.org</t>
  </si>
  <si>
    <t>(937) 555-0152</t>
  </si>
  <si>
    <t>Security Operations Consultant</t>
  </si>
  <si>
    <t>Charlotte, NC</t>
  </si>
  <si>
    <t>USAFA-0071</t>
  </si>
  <si>
    <t>ryan.iverson@us.af.example</t>
  </si>
  <si>
    <t>(619) 555-0119</t>
  </si>
  <si>
    <t>C-130J Pilot</t>
  </si>
  <si>
    <t>Holloman AFB, NM</t>
  </si>
  <si>
    <t>USAFA-0072</t>
  </si>
  <si>
    <t>russell.jackson@us.af.example</t>
  </si>
  <si>
    <t>(850) 555-0163</t>
  </si>
  <si>
    <t>13D1</t>
  </si>
  <si>
    <t>Executive Officer, Combat Rescue Squadron</t>
  </si>
  <si>
    <t>Kadena AB, Japan</t>
  </si>
  <si>
    <t>USAFA-0073</t>
  </si>
  <si>
    <t>tariq.mitchell@us.af.example</t>
  </si>
  <si>
    <t>(619) 555-0195</t>
  </si>
  <si>
    <t>Missile Operations Flight Commander</t>
  </si>
  <si>
    <t>Vandenberg SFB, CA</t>
  </si>
  <si>
    <t>USAFA-0074</t>
  </si>
  <si>
    <t>Dawson</t>
  </si>
  <si>
    <t>carlos.dawson@us.af.example</t>
  </si>
  <si>
    <t>(303) 555-0123</t>
  </si>
  <si>
    <t>B-1 Pilot</t>
  </si>
  <si>
    <t>McChord Field, WA</t>
  </si>
  <si>
    <t>USAFA-0075</t>
  </si>
  <si>
    <t>michael.jackson@us.af.example</t>
  </si>
  <si>
    <t>(619) 555-0149</t>
  </si>
  <si>
    <t>Program Officer, Acquisition</t>
  </si>
  <si>
    <t>USAFA-0076</t>
  </si>
  <si>
    <t>Kim</t>
  </si>
  <si>
    <t>omar.kim@example.com</t>
  </si>
  <si>
    <t>(301) 555-0122</t>
  </si>
  <si>
    <t>Climate Risk Analyst</t>
  </si>
  <si>
    <t>USAFA-0077</t>
  </si>
  <si>
    <t>colin.norris@us.af.example</t>
  </si>
  <si>
    <t>(972) 555-0131</t>
  </si>
  <si>
    <t>Section Chief, Air Liaison</t>
  </si>
  <si>
    <t>USAFA-0078</t>
  </si>
  <si>
    <t>Jason</t>
  </si>
  <si>
    <t>Ramirez</t>
  </si>
  <si>
    <t>jason.ramirez@us.af.example</t>
  </si>
  <si>
    <t>(210) 555-0143</t>
  </si>
  <si>
    <t>Health Services Administration Officer</t>
  </si>
  <si>
    <t>USAFA-0079</t>
  </si>
  <si>
    <t>Ellis</t>
  </si>
  <si>
    <t>evan.ellis@us.af.example</t>
  </si>
  <si>
    <t>(619) 555-0115</t>
  </si>
  <si>
    <t>Space Operations Crew Commander</t>
  </si>
  <si>
    <t>USAFA-0080</t>
  </si>
  <si>
    <t>colin.hartley@example.com</t>
  </si>
  <si>
    <t>(808) 555-0107</t>
  </si>
  <si>
    <t>C-17 Pilot</t>
  </si>
  <si>
    <t>USAFA-0081</t>
  </si>
  <si>
    <t>Jerome</t>
  </si>
  <si>
    <t>jerome.hayes@us.af.example</t>
  </si>
  <si>
    <t>(301) 555-0138</t>
  </si>
  <si>
    <t>USAFA-0082</t>
  </si>
  <si>
    <t>Mateo</t>
  </si>
  <si>
    <t>mateo.hayes@us.af.example</t>
  </si>
  <si>
    <t>(619) 555-0114</t>
  </si>
  <si>
    <t>Section Chief, Intelligence</t>
  </si>
  <si>
    <t>USAFA-0083</t>
  </si>
  <si>
    <t>Castillo</t>
  </si>
  <si>
    <t>evan.castillo@us.af.example</t>
  </si>
  <si>
    <t>(918) 555-0142</t>
  </si>
  <si>
    <t>Computer Systems Engineering Analyst/Researcher</t>
  </si>
  <si>
    <t>USAFA-0084</t>
  </si>
  <si>
    <t>Steven</t>
  </si>
  <si>
    <t>Coleman</t>
  </si>
  <si>
    <t>steven.coleman@us.af.example</t>
  </si>
  <si>
    <t>(210) 555-0164</t>
  </si>
  <si>
    <t>Weather Operations Officer</t>
  </si>
  <si>
    <t>USAFA-0085</t>
  </si>
  <si>
    <t>Gregory</t>
  </si>
  <si>
    <t>Fischer</t>
  </si>
  <si>
    <t>gregory.fischer@us.af.example</t>
  </si>
  <si>
    <t>(937) 555-0179</t>
  </si>
  <si>
    <t>21M1</t>
  </si>
  <si>
    <t>Flight Commander, Munitions &amp; Missile Maintenance</t>
  </si>
  <si>
    <t>USAFA-0086</t>
  </si>
  <si>
    <t>Jonathan</t>
  </si>
  <si>
    <t>jonathan.hayes@us.af.example</t>
  </si>
  <si>
    <t>(301) 555-0187</t>
  </si>
  <si>
    <t>T-38 Instructor Pilot</t>
  </si>
  <si>
    <t>Osan AB, South Korea</t>
  </si>
  <si>
    <t>USAFA-0087</t>
  </si>
  <si>
    <t>Rahul</t>
  </si>
  <si>
    <t>rahul.rhodes@us.af.example</t>
  </si>
  <si>
    <t>(210) 555-0178</t>
  </si>
  <si>
    <t>O-2</t>
  </si>
  <si>
    <t>USAFA-0088</t>
  </si>
  <si>
    <t>gabriel.castillo@us.af.example</t>
  </si>
  <si>
    <t>(719) 555-0184</t>
  </si>
  <si>
    <t>Program Officer, Computer Systems Engineering</t>
  </si>
  <si>
    <t>USAFA-0089</t>
  </si>
  <si>
    <t>jason.rhodes@us.af.example</t>
  </si>
  <si>
    <t>(575) 555-0147</t>
  </si>
  <si>
    <t>Flight Commander, Cyberspace Operations</t>
  </si>
  <si>
    <t>USAFA-0090</t>
  </si>
  <si>
    <t>Bryce</t>
  </si>
  <si>
    <t>bryce.sullivan@us.af.example</t>
  </si>
  <si>
    <t>(918) 555-0100</t>
  </si>
  <si>
    <t>USAFA-0091</t>
  </si>
  <si>
    <t>steven.walker@us.af.example</t>
  </si>
  <si>
    <t>(619) 555-0121</t>
  </si>
  <si>
    <t>Computer Systems Engineering Project Officer</t>
  </si>
  <si>
    <t>USAFA-0092</t>
  </si>
  <si>
    <t>Garrett</t>
  </si>
  <si>
    <t>garrett.harper@us.af.example</t>
  </si>
  <si>
    <t>(937) 555-0127</t>
  </si>
  <si>
    <t>USAFA-0093</t>
  </si>
  <si>
    <t>Nakamura</t>
  </si>
  <si>
    <t>samuel.nakamura@us.af.example</t>
  </si>
  <si>
    <t>(210) 555-0169</t>
  </si>
  <si>
    <t>Satellite Operations Officer</t>
  </si>
  <si>
    <t>Patrick SFB, FL</t>
  </si>
  <si>
    <t>USAFA-0094</t>
  </si>
  <si>
    <t>isaac.thompson@us.af.example</t>
  </si>
  <si>
    <t>(850) 555-0180</t>
  </si>
  <si>
    <t>Executive Officer, Cyberspace Operations Squadron</t>
  </si>
  <si>
    <t>Hanscom AFB, MA</t>
  </si>
  <si>
    <t>USAFA-0095</t>
  </si>
  <si>
    <t>joshua.webb@us.af.example</t>
  </si>
  <si>
    <t>(850) 555-0156</t>
  </si>
  <si>
    <t>USAFA-0096</t>
  </si>
  <si>
    <t>Xu</t>
  </si>
  <si>
    <t>sean.xu@us.af.example</t>
  </si>
  <si>
    <t>(301) 555-0172</t>
  </si>
  <si>
    <t>32E1C</t>
  </si>
  <si>
    <t>Civil Engineer Officer</t>
  </si>
  <si>
    <t>USAFA-0097</t>
  </si>
  <si>
    <t>Neil</t>
  </si>
  <si>
    <t>Abbott</t>
  </si>
  <si>
    <t>neil.abbott@us.af.example</t>
  </si>
  <si>
    <t>(850) 555-0111</t>
  </si>
  <si>
    <t>O-1</t>
  </si>
  <si>
    <t>Misawa AB, Japan</t>
  </si>
  <si>
    <t>USAFA-0098</t>
  </si>
  <si>
    <t>mateo.bennett@us.af.example</t>
  </si>
  <si>
    <t>(619) 555-0188</t>
  </si>
  <si>
    <t>USAFA-0099</t>
  </si>
  <si>
    <t>Lopez</t>
  </si>
  <si>
    <t>jerome.lopez@us.af.example</t>
  </si>
  <si>
    <t>(702) 555-0198</t>
  </si>
  <si>
    <t>Acquisition Project Officer</t>
  </si>
  <si>
    <t>USAFA-0100</t>
  </si>
  <si>
    <t>tyler.ortiz@us.af.example</t>
  </si>
  <si>
    <t>(303) 555-0126</t>
  </si>
  <si>
    <t>Flight Commander, Health Services Administration</t>
  </si>
  <si>
    <t>AFSC Title</t>
  </si>
  <si>
    <t>Category</t>
  </si>
  <si>
    <t>Pilot</t>
  </si>
  <si>
    <t>Rated</t>
  </si>
  <si>
    <t>Combat System Officer (CSO)</t>
  </si>
  <si>
    <t>Air Battle Manager (13BX)</t>
  </si>
  <si>
    <t>Remotely Piloted Aircraft (RPA)</t>
  </si>
  <si>
    <t>Special Tactics</t>
  </si>
  <si>
    <t>Nonrated</t>
  </si>
  <si>
    <t>Combat Rescue</t>
  </si>
  <si>
    <t>Air Liaison Officers</t>
  </si>
  <si>
    <t>Aircraft Operations (Airfield Operations)</t>
  </si>
  <si>
    <t>Nuclear &amp; Missile Operations</t>
  </si>
  <si>
    <t>Space Operations</t>
  </si>
  <si>
    <t>Intelligence</t>
  </si>
  <si>
    <t>Weather</t>
  </si>
  <si>
    <t>Cyberspace Operations</t>
  </si>
  <si>
    <t>Aircraft Maintenance</t>
  </si>
  <si>
    <t>Munitions &amp; Missile Maintenance</t>
  </si>
  <si>
    <t>Logistics Readiness</t>
  </si>
  <si>
    <t>Security Forces</t>
  </si>
  <si>
    <t>Civil Engineer</t>
  </si>
  <si>
    <t>Civil Engineer - General Civil Engineer</t>
  </si>
  <si>
    <t>Public Affairs</t>
  </si>
  <si>
    <t>38P1</t>
  </si>
  <si>
    <t>Force Support</t>
  </si>
  <si>
    <t>Health Professions</t>
  </si>
  <si>
    <t>Aerospace/Operational Physiologist</t>
  </si>
  <si>
    <t>Operations Research Analyst</t>
  </si>
  <si>
    <t>61B1</t>
  </si>
  <si>
    <t>Behavioral Science/Human Factors Scientists</t>
  </si>
  <si>
    <t>61C1</t>
  </si>
  <si>
    <t>Chemist/Nuclear Chemist</t>
  </si>
  <si>
    <t>Physicist/Nuclear Engineer</t>
  </si>
  <si>
    <t>Developmental Engineer - Aeronautical</t>
  </si>
  <si>
    <t>Developmental Engineer - Astronautical</t>
  </si>
  <si>
    <t>Developmental Engineer - Computer Systems</t>
  </si>
  <si>
    <t>Developmental Engineer - Electrical/Electronic</t>
  </si>
  <si>
    <t>Developmental Engineer - Project</t>
  </si>
  <si>
    <t>62E1H</t>
  </si>
  <si>
    <t>Developmental Engineer - Mechanical</t>
  </si>
  <si>
    <t>Acquisition Manager</t>
  </si>
  <si>
    <t>64P1</t>
  </si>
  <si>
    <t>Contracting</t>
  </si>
  <si>
    <t>Special Investigations</t>
  </si>
  <si>
    <t>Test Data Summary (live formulas)</t>
  </si>
  <si>
    <t>Count</t>
  </si>
  <si>
    <t>Total</t>
  </si>
  <si>
    <t>About this file</t>
  </si>
  <si>
    <t>ALL DATA IS FICTIONAL. Names, emails and phone numbers were randomly generated for software testing and do not belong to real people.</t>
  </si>
  <si>
    <t>Emails use reserved/non-routable domains (example.com, example.net, example.org, *.example). Phone numbers use the reserved 555-01XX fictional range.</t>
  </si>
  <si>
    <t>100 profiles: 4–5 per class for classes 2005–2025 (16 classes of 5, 5 classes of 4). Profile ID is an added unique key for database use.</t>
  </si>
  <si>
    <t>Military Status is randomly weighted by class age: recent classes are nearly all Active Duty; older classes include more Reserve and Civilian.</t>
  </si>
  <si>
    <t>Officer Rank follows typical USAF timing in grade (e.g. class of 2025 = O-1/O-2, class of 2005 = O-5/O-6). Reserve/Active ranks are approximate, not exact promotion data.</t>
  </si>
  <si>
    <t>Civilian rows: Officer Rank is the rank held at separation/retirement, and AFSC is the former Air Force specialty. Job Title is the civilian job.</t>
  </si>
  <si>
    <t>Current Base / Working City: base for Active Duty and Reserve rows; working city for Civilian rows. Class of 2025 rated officers are shown as students at training bases.</t>
  </si>
  <si>
    <t>AFSC codes and career-field titles come from the provided PDF (see 'AFSC Reference'). Job titles and base assignments are invented but chosen to be plausible for each AFSC.</t>
  </si>
  <si>
    <t>The PDF lists 35P1 as Public Affairs but its description text is the band program; 'Public Affairs' is used as the title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</si>
</sst>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087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Normal="100" workbookViewId="0">
      <pane ySplit="1" topLeftCell="A67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3" customWidth="1"/>
    <col min="3" max="3" width="14" customWidth="1"/>
    <col min="4" max="4" width="36" customWidth="1"/>
    <col min="5" max="5" width="16" customWidth="1"/>
    <col min="6" max="6" width="11" customWidth="1"/>
    <col min="7" max="7" width="15" customWidth="1"/>
    <col min="8" max="8" width="12" customWidth="1"/>
    <col min="9" max="9" width="10" customWidth="1"/>
    <col min="10" max="10" width="42" customWidth="1"/>
    <col min="11" max="11" width="40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">
      <c r="A2" s="2" t="s">
        <v>11</v>
      </c>
      <c r="B2" s="3" t="s">
        <v>12</v>
      </c>
      <c r="C2" s="3" t="s">
        <v>13</v>
      </c>
      <c r="D2" s="3" t="s">
        <v>14</v>
      </c>
      <c r="E2" s="2" t="s">
        <v>15</v>
      </c>
      <c r="F2" s="2">
        <v>2005</v>
      </c>
      <c r="G2" s="2" t="s">
        <v>16</v>
      </c>
      <c r="H2" s="2" t="s">
        <v>17</v>
      </c>
      <c r="I2" s="2" t="s">
        <v>18</v>
      </c>
      <c r="J2" s="3" t="s">
        <v>19</v>
      </c>
      <c r="K2" s="3" t="s">
        <v>20</v>
      </c>
    </row>
    <row r="3" spans="1:11" ht="15" customHeight="1" x14ac:dyDescent="0.2">
      <c r="A3" s="2" t="s">
        <v>21</v>
      </c>
      <c r="B3" s="3" t="s">
        <v>22</v>
      </c>
      <c r="C3" s="3" t="s">
        <v>23</v>
      </c>
      <c r="D3" s="3" t="s">
        <v>24</v>
      </c>
      <c r="E3" s="2" t="s">
        <v>25</v>
      </c>
      <c r="F3" s="2">
        <v>2005</v>
      </c>
      <c r="G3" s="2" t="s">
        <v>26</v>
      </c>
      <c r="H3" s="2" t="s">
        <v>27</v>
      </c>
      <c r="I3" s="2" t="s">
        <v>28</v>
      </c>
      <c r="J3" s="3" t="s">
        <v>29</v>
      </c>
      <c r="K3" s="3" t="s">
        <v>30</v>
      </c>
    </row>
    <row r="4" spans="1:11" ht="15" customHeight="1" x14ac:dyDescent="0.2">
      <c r="A4" s="2" t="s">
        <v>31</v>
      </c>
      <c r="B4" s="3" t="s">
        <v>32</v>
      </c>
      <c r="C4" s="3" t="s">
        <v>33</v>
      </c>
      <c r="D4" s="3" t="s">
        <v>34</v>
      </c>
      <c r="E4" s="2" t="s">
        <v>35</v>
      </c>
      <c r="F4" s="2">
        <v>2005</v>
      </c>
      <c r="G4" s="2" t="s">
        <v>26</v>
      </c>
      <c r="H4" s="2" t="s">
        <v>36</v>
      </c>
      <c r="I4" s="2" t="s">
        <v>37</v>
      </c>
      <c r="J4" s="3" t="s">
        <v>38</v>
      </c>
      <c r="K4" s="3" t="s">
        <v>39</v>
      </c>
    </row>
    <row r="5" spans="1:11" ht="15" customHeight="1" x14ac:dyDescent="0.2">
      <c r="A5" s="2" t="s">
        <v>40</v>
      </c>
      <c r="B5" s="3" t="s">
        <v>41</v>
      </c>
      <c r="C5" s="3" t="s">
        <v>42</v>
      </c>
      <c r="D5" s="3" t="s">
        <v>43</v>
      </c>
      <c r="E5" s="2" t="s">
        <v>44</v>
      </c>
      <c r="F5" s="2">
        <v>2005</v>
      </c>
      <c r="G5" s="2" t="s">
        <v>26</v>
      </c>
      <c r="H5" s="2" t="s">
        <v>27</v>
      </c>
      <c r="I5" s="2" t="s">
        <v>45</v>
      </c>
      <c r="J5" s="3" t="s">
        <v>46</v>
      </c>
      <c r="K5" s="3" t="s">
        <v>47</v>
      </c>
    </row>
    <row r="6" spans="1:11" ht="15" customHeight="1" x14ac:dyDescent="0.2">
      <c r="A6" s="2" t="s">
        <v>48</v>
      </c>
      <c r="B6" s="3" t="s">
        <v>49</v>
      </c>
      <c r="C6" s="3" t="s">
        <v>50</v>
      </c>
      <c r="D6" s="3" t="s">
        <v>51</v>
      </c>
      <c r="E6" s="2" t="s">
        <v>52</v>
      </c>
      <c r="F6" s="2">
        <v>2005</v>
      </c>
      <c r="G6" s="2" t="s">
        <v>16</v>
      </c>
      <c r="H6" s="2" t="s">
        <v>36</v>
      </c>
      <c r="I6" s="2" t="s">
        <v>53</v>
      </c>
      <c r="J6" s="3" t="s">
        <v>54</v>
      </c>
      <c r="K6" s="3" t="s">
        <v>55</v>
      </c>
    </row>
    <row r="7" spans="1:11" ht="15" customHeight="1" x14ac:dyDescent="0.2">
      <c r="A7" s="2" t="s">
        <v>56</v>
      </c>
      <c r="B7" s="3" t="s">
        <v>57</v>
      </c>
      <c r="C7" s="3" t="s">
        <v>58</v>
      </c>
      <c r="D7" s="3" t="s">
        <v>59</v>
      </c>
      <c r="E7" s="2" t="s">
        <v>60</v>
      </c>
      <c r="F7" s="2">
        <v>2006</v>
      </c>
      <c r="G7" s="2" t="s">
        <v>16</v>
      </c>
      <c r="H7" s="2" t="s">
        <v>36</v>
      </c>
      <c r="I7" s="2" t="s">
        <v>45</v>
      </c>
      <c r="J7" s="3" t="s">
        <v>61</v>
      </c>
      <c r="K7" s="3" t="s">
        <v>62</v>
      </c>
    </row>
    <row r="8" spans="1:11" ht="15" customHeight="1" x14ac:dyDescent="0.2">
      <c r="A8" s="2" t="s">
        <v>63</v>
      </c>
      <c r="B8" s="3" t="s">
        <v>64</v>
      </c>
      <c r="C8" s="3" t="s">
        <v>65</v>
      </c>
      <c r="D8" s="3" t="s">
        <v>66</v>
      </c>
      <c r="E8" s="2" t="s">
        <v>67</v>
      </c>
      <c r="F8" s="2">
        <v>2006</v>
      </c>
      <c r="G8" s="2" t="s">
        <v>26</v>
      </c>
      <c r="H8" s="2" t="s">
        <v>36</v>
      </c>
      <c r="I8" s="2" t="s">
        <v>45</v>
      </c>
      <c r="J8" s="3" t="s">
        <v>68</v>
      </c>
      <c r="K8" s="3" t="s">
        <v>69</v>
      </c>
    </row>
    <row r="9" spans="1:11" ht="15" customHeight="1" x14ac:dyDescent="0.2">
      <c r="A9" s="2" t="s">
        <v>70</v>
      </c>
      <c r="B9" s="3" t="s">
        <v>71</v>
      </c>
      <c r="C9" s="3" t="s">
        <v>72</v>
      </c>
      <c r="D9" s="3" t="s">
        <v>73</v>
      </c>
      <c r="E9" s="2" t="s">
        <v>74</v>
      </c>
      <c r="F9" s="2">
        <v>2006</v>
      </c>
      <c r="G9" s="2" t="s">
        <v>75</v>
      </c>
      <c r="H9" s="2" t="s">
        <v>36</v>
      </c>
      <c r="I9" s="2" t="s">
        <v>76</v>
      </c>
      <c r="J9" s="3" t="s">
        <v>77</v>
      </c>
      <c r="K9" s="3" t="s">
        <v>78</v>
      </c>
    </row>
    <row r="10" spans="1:11" ht="15" customHeight="1" x14ac:dyDescent="0.2">
      <c r="A10" s="2" t="s">
        <v>79</v>
      </c>
      <c r="B10" s="3" t="s">
        <v>32</v>
      </c>
      <c r="C10" s="3" t="s">
        <v>80</v>
      </c>
      <c r="D10" s="3" t="s">
        <v>81</v>
      </c>
      <c r="E10" s="2" t="s">
        <v>82</v>
      </c>
      <c r="F10" s="2">
        <v>2006</v>
      </c>
      <c r="G10" s="2" t="s">
        <v>26</v>
      </c>
      <c r="H10" s="2" t="s">
        <v>27</v>
      </c>
      <c r="I10" s="2" t="s">
        <v>83</v>
      </c>
      <c r="J10" s="3" t="s">
        <v>84</v>
      </c>
      <c r="K10" s="3" t="s">
        <v>85</v>
      </c>
    </row>
    <row r="11" spans="1:11" ht="15" customHeight="1" x14ac:dyDescent="0.2">
      <c r="A11" s="2" t="s">
        <v>86</v>
      </c>
      <c r="B11" s="3" t="s">
        <v>87</v>
      </c>
      <c r="C11" s="3" t="s">
        <v>88</v>
      </c>
      <c r="D11" s="3" t="s">
        <v>89</v>
      </c>
      <c r="E11" s="2" t="s">
        <v>90</v>
      </c>
      <c r="F11" s="2">
        <v>2006</v>
      </c>
      <c r="G11" s="2" t="s">
        <v>26</v>
      </c>
      <c r="H11" s="2" t="s">
        <v>36</v>
      </c>
      <c r="I11" s="2" t="s">
        <v>91</v>
      </c>
      <c r="J11" s="3" t="s">
        <v>92</v>
      </c>
      <c r="K11" s="3" t="s">
        <v>93</v>
      </c>
    </row>
    <row r="12" spans="1:11" ht="15" customHeight="1" x14ac:dyDescent="0.2">
      <c r="A12" s="2" t="s">
        <v>94</v>
      </c>
      <c r="B12" s="3" t="s">
        <v>95</v>
      </c>
      <c r="C12" s="3" t="s">
        <v>96</v>
      </c>
      <c r="D12" s="3" t="s">
        <v>97</v>
      </c>
      <c r="E12" s="2" t="s">
        <v>98</v>
      </c>
      <c r="F12" s="2">
        <v>2007</v>
      </c>
      <c r="G12" s="2" t="s">
        <v>26</v>
      </c>
      <c r="H12" s="2" t="s">
        <v>36</v>
      </c>
      <c r="I12" s="2" t="s">
        <v>76</v>
      </c>
      <c r="J12" s="3" t="s">
        <v>99</v>
      </c>
      <c r="K12" s="3" t="s">
        <v>100</v>
      </c>
    </row>
    <row r="13" spans="1:11" ht="15" customHeight="1" x14ac:dyDescent="0.2">
      <c r="A13" s="2" t="s">
        <v>101</v>
      </c>
      <c r="B13" s="3" t="s">
        <v>102</v>
      </c>
      <c r="C13" s="3" t="s">
        <v>103</v>
      </c>
      <c r="D13" s="3" t="s">
        <v>104</v>
      </c>
      <c r="E13" s="2" t="s">
        <v>105</v>
      </c>
      <c r="F13" s="2">
        <v>2007</v>
      </c>
      <c r="G13" s="2" t="s">
        <v>75</v>
      </c>
      <c r="H13" s="2" t="s">
        <v>36</v>
      </c>
      <c r="I13" s="2" t="s">
        <v>76</v>
      </c>
      <c r="J13" s="3" t="s">
        <v>106</v>
      </c>
      <c r="K13" s="3" t="s">
        <v>107</v>
      </c>
    </row>
    <row r="14" spans="1:11" ht="15" customHeight="1" x14ac:dyDescent="0.2">
      <c r="A14" s="2" t="s">
        <v>108</v>
      </c>
      <c r="B14" s="3" t="s">
        <v>109</v>
      </c>
      <c r="C14" s="3" t="s">
        <v>110</v>
      </c>
      <c r="D14" s="3" t="s">
        <v>111</v>
      </c>
      <c r="E14" s="2" t="s">
        <v>112</v>
      </c>
      <c r="F14" s="2">
        <v>2007</v>
      </c>
      <c r="G14" s="2" t="s">
        <v>26</v>
      </c>
      <c r="H14" s="2" t="s">
        <v>36</v>
      </c>
      <c r="I14" s="2" t="s">
        <v>113</v>
      </c>
      <c r="J14" s="3" t="s">
        <v>114</v>
      </c>
      <c r="K14" s="3" t="s">
        <v>115</v>
      </c>
    </row>
    <row r="15" spans="1:11" ht="15" customHeight="1" x14ac:dyDescent="0.2">
      <c r="A15" s="2" t="s">
        <v>116</v>
      </c>
      <c r="B15" s="3" t="s">
        <v>117</v>
      </c>
      <c r="C15" s="3" t="s">
        <v>118</v>
      </c>
      <c r="D15" s="3" t="s">
        <v>119</v>
      </c>
      <c r="E15" s="2" t="s">
        <v>120</v>
      </c>
      <c r="F15" s="2">
        <v>2007</v>
      </c>
      <c r="G15" s="2" t="s">
        <v>75</v>
      </c>
      <c r="H15" s="2" t="s">
        <v>17</v>
      </c>
      <c r="I15" s="2" t="s">
        <v>121</v>
      </c>
      <c r="J15" s="3" t="s">
        <v>122</v>
      </c>
      <c r="K15" s="3" t="s">
        <v>123</v>
      </c>
    </row>
    <row r="16" spans="1:11" ht="15" customHeight="1" x14ac:dyDescent="0.2">
      <c r="A16" s="2" t="s">
        <v>124</v>
      </c>
      <c r="B16" s="3" t="s">
        <v>125</v>
      </c>
      <c r="C16" s="3" t="s">
        <v>126</v>
      </c>
      <c r="D16" s="3" t="s">
        <v>127</v>
      </c>
      <c r="E16" s="2" t="s">
        <v>128</v>
      </c>
      <c r="F16" s="2">
        <v>2007</v>
      </c>
      <c r="G16" s="2" t="s">
        <v>26</v>
      </c>
      <c r="H16" s="2" t="s">
        <v>27</v>
      </c>
      <c r="I16" s="2" t="s">
        <v>45</v>
      </c>
      <c r="J16" s="3" t="s">
        <v>46</v>
      </c>
      <c r="K16" s="3" t="s">
        <v>129</v>
      </c>
    </row>
    <row r="17" spans="1:11" ht="15" customHeight="1" x14ac:dyDescent="0.2">
      <c r="A17" s="2" t="s">
        <v>130</v>
      </c>
      <c r="B17" s="3" t="s">
        <v>131</v>
      </c>
      <c r="C17" s="3" t="s">
        <v>132</v>
      </c>
      <c r="D17" s="3" t="s">
        <v>133</v>
      </c>
      <c r="E17" s="2" t="s">
        <v>134</v>
      </c>
      <c r="F17" s="2">
        <v>2008</v>
      </c>
      <c r="G17" s="2" t="s">
        <v>16</v>
      </c>
      <c r="H17" s="2" t="s">
        <v>36</v>
      </c>
      <c r="I17" s="2" t="s">
        <v>121</v>
      </c>
      <c r="J17" s="3" t="s">
        <v>135</v>
      </c>
      <c r="K17" s="3" t="s">
        <v>136</v>
      </c>
    </row>
    <row r="18" spans="1:11" ht="15" customHeight="1" x14ac:dyDescent="0.2">
      <c r="A18" s="2" t="s">
        <v>137</v>
      </c>
      <c r="B18" s="3" t="s">
        <v>138</v>
      </c>
      <c r="C18" s="3" t="s">
        <v>139</v>
      </c>
      <c r="D18" s="3" t="s">
        <v>140</v>
      </c>
      <c r="E18" s="2" t="s">
        <v>141</v>
      </c>
      <c r="F18" s="2">
        <v>2008</v>
      </c>
      <c r="G18" s="2" t="s">
        <v>16</v>
      </c>
      <c r="H18" s="2" t="s">
        <v>36</v>
      </c>
      <c r="I18" s="2" t="s">
        <v>76</v>
      </c>
      <c r="J18" s="3" t="s">
        <v>142</v>
      </c>
      <c r="K18" s="3" t="s">
        <v>107</v>
      </c>
    </row>
    <row r="19" spans="1:11" ht="15" customHeight="1" x14ac:dyDescent="0.2">
      <c r="A19" s="2" t="s">
        <v>143</v>
      </c>
      <c r="B19" s="3" t="s">
        <v>144</v>
      </c>
      <c r="C19" s="3" t="s">
        <v>145</v>
      </c>
      <c r="D19" s="3" t="s">
        <v>146</v>
      </c>
      <c r="E19" s="2" t="s">
        <v>147</v>
      </c>
      <c r="F19" s="2">
        <v>2008</v>
      </c>
      <c r="G19" s="2" t="s">
        <v>75</v>
      </c>
      <c r="H19" s="2" t="s">
        <v>36</v>
      </c>
      <c r="I19" s="2" t="s">
        <v>148</v>
      </c>
      <c r="J19" s="3" t="s">
        <v>149</v>
      </c>
      <c r="K19" s="3" t="s">
        <v>150</v>
      </c>
    </row>
    <row r="20" spans="1:11" ht="15" customHeight="1" x14ac:dyDescent="0.2">
      <c r="A20" s="2" t="s">
        <v>151</v>
      </c>
      <c r="B20" s="3" t="s">
        <v>41</v>
      </c>
      <c r="C20" s="3" t="s">
        <v>152</v>
      </c>
      <c r="D20" s="3" t="s">
        <v>153</v>
      </c>
      <c r="E20" s="2" t="s">
        <v>154</v>
      </c>
      <c r="F20" s="2">
        <v>2008</v>
      </c>
      <c r="G20" s="2" t="s">
        <v>16</v>
      </c>
      <c r="H20" s="2" t="s">
        <v>36</v>
      </c>
      <c r="I20" s="2" t="s">
        <v>76</v>
      </c>
      <c r="J20" s="3" t="s">
        <v>106</v>
      </c>
      <c r="K20" s="3" t="s">
        <v>155</v>
      </c>
    </row>
    <row r="21" spans="1:11" ht="15" customHeight="1" x14ac:dyDescent="0.2">
      <c r="A21" s="2" t="s">
        <v>156</v>
      </c>
      <c r="B21" s="3" t="s">
        <v>157</v>
      </c>
      <c r="C21" s="3" t="s">
        <v>158</v>
      </c>
      <c r="D21" s="3" t="s">
        <v>159</v>
      </c>
      <c r="E21" s="2" t="s">
        <v>160</v>
      </c>
      <c r="F21" s="2">
        <v>2009</v>
      </c>
      <c r="G21" s="2" t="s">
        <v>26</v>
      </c>
      <c r="H21" s="2" t="s">
        <v>27</v>
      </c>
      <c r="I21" s="2" t="s">
        <v>161</v>
      </c>
      <c r="J21" s="3" t="s">
        <v>162</v>
      </c>
      <c r="K21" s="3" t="s">
        <v>163</v>
      </c>
    </row>
    <row r="22" spans="1:11" ht="15" customHeight="1" x14ac:dyDescent="0.2">
      <c r="A22" s="2" t="s">
        <v>164</v>
      </c>
      <c r="B22" s="3" t="s">
        <v>165</v>
      </c>
      <c r="C22" s="3" t="s">
        <v>166</v>
      </c>
      <c r="D22" s="3" t="s">
        <v>167</v>
      </c>
      <c r="E22" s="2" t="s">
        <v>168</v>
      </c>
      <c r="F22" s="2">
        <v>2009</v>
      </c>
      <c r="G22" s="2" t="s">
        <v>75</v>
      </c>
      <c r="H22" s="2" t="s">
        <v>36</v>
      </c>
      <c r="I22" s="2" t="s">
        <v>121</v>
      </c>
      <c r="J22" s="3" t="s">
        <v>135</v>
      </c>
      <c r="K22" s="3" t="s">
        <v>150</v>
      </c>
    </row>
    <row r="23" spans="1:11" ht="15" customHeight="1" x14ac:dyDescent="0.2">
      <c r="A23" s="2" t="s">
        <v>169</v>
      </c>
      <c r="B23" s="3" t="s">
        <v>170</v>
      </c>
      <c r="C23" s="3" t="s">
        <v>171</v>
      </c>
      <c r="D23" s="3" t="s">
        <v>172</v>
      </c>
      <c r="E23" s="2" t="s">
        <v>173</v>
      </c>
      <c r="F23" s="2">
        <v>2009</v>
      </c>
      <c r="G23" s="2" t="s">
        <v>26</v>
      </c>
      <c r="H23" s="2" t="s">
        <v>174</v>
      </c>
      <c r="I23" s="2" t="s">
        <v>175</v>
      </c>
      <c r="J23" s="3" t="s">
        <v>176</v>
      </c>
      <c r="K23" s="3" t="s">
        <v>177</v>
      </c>
    </row>
    <row r="24" spans="1:11" ht="15" customHeight="1" x14ac:dyDescent="0.2">
      <c r="A24" s="2" t="s">
        <v>178</v>
      </c>
      <c r="B24" s="3" t="s">
        <v>179</v>
      </c>
      <c r="C24" s="3" t="s">
        <v>180</v>
      </c>
      <c r="D24" s="3" t="s">
        <v>181</v>
      </c>
      <c r="E24" s="2" t="s">
        <v>182</v>
      </c>
      <c r="F24" s="2">
        <v>2009</v>
      </c>
      <c r="G24" s="2" t="s">
        <v>75</v>
      </c>
      <c r="H24" s="2" t="s">
        <v>27</v>
      </c>
      <c r="I24" s="2" t="s">
        <v>183</v>
      </c>
      <c r="J24" s="3" t="s">
        <v>184</v>
      </c>
      <c r="K24" s="3" t="s">
        <v>185</v>
      </c>
    </row>
    <row r="25" spans="1:11" ht="15" customHeight="1" x14ac:dyDescent="0.2">
      <c r="A25" s="2" t="s">
        <v>186</v>
      </c>
      <c r="B25" s="3" t="s">
        <v>187</v>
      </c>
      <c r="C25" s="3" t="s">
        <v>188</v>
      </c>
      <c r="D25" s="3" t="s">
        <v>189</v>
      </c>
      <c r="E25" s="2" t="s">
        <v>190</v>
      </c>
      <c r="F25" s="2">
        <v>2009</v>
      </c>
      <c r="G25" s="2" t="s">
        <v>16</v>
      </c>
      <c r="H25" s="2" t="s">
        <v>36</v>
      </c>
      <c r="I25" s="2" t="s">
        <v>28</v>
      </c>
      <c r="J25" s="3" t="s">
        <v>191</v>
      </c>
      <c r="K25" s="3" t="s">
        <v>192</v>
      </c>
    </row>
    <row r="26" spans="1:11" ht="15" customHeight="1" x14ac:dyDescent="0.2">
      <c r="A26" s="2" t="s">
        <v>193</v>
      </c>
      <c r="B26" s="3" t="s">
        <v>194</v>
      </c>
      <c r="C26" s="3" t="s">
        <v>23</v>
      </c>
      <c r="D26" s="3" t="s">
        <v>195</v>
      </c>
      <c r="E26" s="2" t="s">
        <v>196</v>
      </c>
      <c r="F26" s="2">
        <v>2010</v>
      </c>
      <c r="G26" s="2" t="s">
        <v>16</v>
      </c>
      <c r="H26" s="2" t="s">
        <v>36</v>
      </c>
      <c r="I26" s="2" t="s">
        <v>175</v>
      </c>
      <c r="J26" s="3" t="s">
        <v>197</v>
      </c>
      <c r="K26" s="3" t="s">
        <v>198</v>
      </c>
    </row>
    <row r="27" spans="1:11" ht="15" customHeight="1" x14ac:dyDescent="0.2">
      <c r="A27" s="2" t="s">
        <v>199</v>
      </c>
      <c r="B27" s="3" t="s">
        <v>95</v>
      </c>
      <c r="C27" s="3" t="s">
        <v>200</v>
      </c>
      <c r="D27" s="3" t="s">
        <v>201</v>
      </c>
      <c r="E27" s="2" t="s">
        <v>202</v>
      </c>
      <c r="F27" s="2">
        <v>2010</v>
      </c>
      <c r="G27" s="2" t="s">
        <v>26</v>
      </c>
      <c r="H27" s="2" t="s">
        <v>27</v>
      </c>
      <c r="I27" s="2" t="s">
        <v>76</v>
      </c>
      <c r="J27" s="3" t="s">
        <v>99</v>
      </c>
      <c r="K27" s="3" t="s">
        <v>203</v>
      </c>
    </row>
    <row r="28" spans="1:11" ht="15" customHeight="1" x14ac:dyDescent="0.2">
      <c r="A28" s="2" t="s">
        <v>204</v>
      </c>
      <c r="B28" s="3" t="s">
        <v>205</v>
      </c>
      <c r="C28" s="3" t="s">
        <v>132</v>
      </c>
      <c r="D28" s="3" t="s">
        <v>206</v>
      </c>
      <c r="E28" s="2" t="s">
        <v>207</v>
      </c>
      <c r="F28" s="2">
        <v>2010</v>
      </c>
      <c r="G28" s="2" t="s">
        <v>26</v>
      </c>
      <c r="H28" s="2" t="s">
        <v>27</v>
      </c>
      <c r="I28" s="2" t="s">
        <v>28</v>
      </c>
      <c r="J28" s="3" t="s">
        <v>208</v>
      </c>
      <c r="K28" s="3" t="s">
        <v>209</v>
      </c>
    </row>
    <row r="29" spans="1:11" ht="15" customHeight="1" x14ac:dyDescent="0.2">
      <c r="A29" s="2" t="s">
        <v>210</v>
      </c>
      <c r="B29" s="3" t="s">
        <v>211</v>
      </c>
      <c r="C29" s="3" t="s">
        <v>212</v>
      </c>
      <c r="D29" s="3" t="s">
        <v>213</v>
      </c>
      <c r="E29" s="2" t="s">
        <v>214</v>
      </c>
      <c r="F29" s="2">
        <v>2010</v>
      </c>
      <c r="G29" s="2" t="s">
        <v>75</v>
      </c>
      <c r="H29" s="2" t="s">
        <v>36</v>
      </c>
      <c r="I29" s="2" t="s">
        <v>215</v>
      </c>
      <c r="J29" s="3" t="s">
        <v>216</v>
      </c>
      <c r="K29" s="3" t="s">
        <v>78</v>
      </c>
    </row>
    <row r="30" spans="1:11" ht="15" customHeight="1" x14ac:dyDescent="0.2">
      <c r="A30" s="2" t="s">
        <v>217</v>
      </c>
      <c r="B30" s="3" t="s">
        <v>218</v>
      </c>
      <c r="C30" s="3" t="s">
        <v>219</v>
      </c>
      <c r="D30" s="3" t="s">
        <v>220</v>
      </c>
      <c r="E30" s="2" t="s">
        <v>221</v>
      </c>
      <c r="F30" s="2">
        <v>2010</v>
      </c>
      <c r="G30" s="2" t="s">
        <v>26</v>
      </c>
      <c r="H30" s="2" t="s">
        <v>174</v>
      </c>
      <c r="I30" s="2" t="s">
        <v>28</v>
      </c>
      <c r="J30" s="3" t="s">
        <v>208</v>
      </c>
      <c r="K30" s="3" t="s">
        <v>30</v>
      </c>
    </row>
    <row r="31" spans="1:11" ht="15" customHeight="1" x14ac:dyDescent="0.2">
      <c r="A31" s="2" t="s">
        <v>222</v>
      </c>
      <c r="B31" s="3" t="s">
        <v>41</v>
      </c>
      <c r="C31" s="3" t="s">
        <v>223</v>
      </c>
      <c r="D31" s="3" t="s">
        <v>224</v>
      </c>
      <c r="E31" s="2" t="s">
        <v>225</v>
      </c>
      <c r="F31" s="2">
        <v>2011</v>
      </c>
      <c r="G31" s="2" t="s">
        <v>16</v>
      </c>
      <c r="H31" s="2" t="s">
        <v>27</v>
      </c>
      <c r="I31" s="2" t="s">
        <v>226</v>
      </c>
      <c r="J31" s="3" t="s">
        <v>227</v>
      </c>
      <c r="K31" s="3" t="s">
        <v>228</v>
      </c>
    </row>
    <row r="32" spans="1:11" ht="15" customHeight="1" x14ac:dyDescent="0.2">
      <c r="A32" s="2" t="s">
        <v>229</v>
      </c>
      <c r="B32" s="3" t="s">
        <v>230</v>
      </c>
      <c r="C32" s="3" t="s">
        <v>231</v>
      </c>
      <c r="D32" s="3" t="s">
        <v>232</v>
      </c>
      <c r="E32" s="2" t="s">
        <v>233</v>
      </c>
      <c r="F32" s="2">
        <v>2011</v>
      </c>
      <c r="G32" s="2" t="s">
        <v>16</v>
      </c>
      <c r="H32" s="2" t="s">
        <v>36</v>
      </c>
      <c r="I32" s="2" t="s">
        <v>121</v>
      </c>
      <c r="J32" s="3" t="s">
        <v>234</v>
      </c>
      <c r="K32" s="3" t="s">
        <v>123</v>
      </c>
    </row>
    <row r="33" spans="1:11" ht="15" customHeight="1" x14ac:dyDescent="0.2">
      <c r="A33" s="2" t="s">
        <v>235</v>
      </c>
      <c r="B33" s="3" t="s">
        <v>236</v>
      </c>
      <c r="C33" s="3" t="s">
        <v>237</v>
      </c>
      <c r="D33" s="3" t="s">
        <v>238</v>
      </c>
      <c r="E33" s="2" t="s">
        <v>239</v>
      </c>
      <c r="F33" s="2">
        <v>2011</v>
      </c>
      <c r="G33" s="2" t="s">
        <v>16</v>
      </c>
      <c r="H33" s="2" t="s">
        <v>27</v>
      </c>
      <c r="I33" s="2" t="s">
        <v>76</v>
      </c>
      <c r="J33" s="3" t="s">
        <v>240</v>
      </c>
      <c r="K33" s="3" t="s">
        <v>241</v>
      </c>
    </row>
    <row r="34" spans="1:11" ht="15" customHeight="1" x14ac:dyDescent="0.2">
      <c r="A34" s="2" t="s">
        <v>242</v>
      </c>
      <c r="B34" s="3" t="s">
        <v>32</v>
      </c>
      <c r="C34" s="3" t="s">
        <v>243</v>
      </c>
      <c r="D34" s="3" t="s">
        <v>244</v>
      </c>
      <c r="E34" s="2" t="s">
        <v>245</v>
      </c>
      <c r="F34" s="2">
        <v>2011</v>
      </c>
      <c r="G34" s="2" t="s">
        <v>16</v>
      </c>
      <c r="H34" s="2" t="s">
        <v>27</v>
      </c>
      <c r="I34" s="2" t="s">
        <v>246</v>
      </c>
      <c r="J34" s="3" t="s">
        <v>247</v>
      </c>
      <c r="K34" s="3" t="s">
        <v>136</v>
      </c>
    </row>
    <row r="35" spans="1:11" ht="15" customHeight="1" x14ac:dyDescent="0.2">
      <c r="A35" s="2" t="s">
        <v>248</v>
      </c>
      <c r="B35" s="3" t="s">
        <v>157</v>
      </c>
      <c r="C35" s="3" t="s">
        <v>249</v>
      </c>
      <c r="D35" s="3" t="s">
        <v>250</v>
      </c>
      <c r="E35" s="2" t="s">
        <v>251</v>
      </c>
      <c r="F35" s="2">
        <v>2011</v>
      </c>
      <c r="G35" s="2" t="s">
        <v>26</v>
      </c>
      <c r="H35" s="2" t="s">
        <v>174</v>
      </c>
      <c r="I35" s="2" t="s">
        <v>252</v>
      </c>
      <c r="J35" s="3" t="s">
        <v>253</v>
      </c>
      <c r="K35" s="3" t="s">
        <v>254</v>
      </c>
    </row>
    <row r="36" spans="1:11" ht="15" customHeight="1" x14ac:dyDescent="0.2">
      <c r="A36" s="2" t="s">
        <v>255</v>
      </c>
      <c r="B36" s="3" t="s">
        <v>32</v>
      </c>
      <c r="C36" s="3" t="s">
        <v>256</v>
      </c>
      <c r="D36" s="3" t="s">
        <v>257</v>
      </c>
      <c r="E36" s="2" t="s">
        <v>258</v>
      </c>
      <c r="F36" s="2">
        <v>2012</v>
      </c>
      <c r="G36" s="2" t="s">
        <v>16</v>
      </c>
      <c r="H36" s="2" t="s">
        <v>27</v>
      </c>
      <c r="I36" s="2" t="s">
        <v>37</v>
      </c>
      <c r="J36" s="3" t="s">
        <v>259</v>
      </c>
      <c r="K36" s="3" t="s">
        <v>20</v>
      </c>
    </row>
    <row r="37" spans="1:11" ht="15" customHeight="1" x14ac:dyDescent="0.2">
      <c r="A37" s="2" t="s">
        <v>260</v>
      </c>
      <c r="B37" s="3" t="s">
        <v>261</v>
      </c>
      <c r="C37" s="3" t="s">
        <v>262</v>
      </c>
      <c r="D37" s="3" t="s">
        <v>263</v>
      </c>
      <c r="E37" s="2" t="s">
        <v>264</v>
      </c>
      <c r="F37" s="2">
        <v>2012</v>
      </c>
      <c r="G37" s="2" t="s">
        <v>75</v>
      </c>
      <c r="H37" s="2" t="s">
        <v>36</v>
      </c>
      <c r="I37" s="2" t="s">
        <v>28</v>
      </c>
      <c r="J37" s="3" t="s">
        <v>191</v>
      </c>
      <c r="K37" s="3" t="s">
        <v>265</v>
      </c>
    </row>
    <row r="38" spans="1:11" ht="15" customHeight="1" x14ac:dyDescent="0.2">
      <c r="A38" s="2" t="s">
        <v>266</v>
      </c>
      <c r="B38" s="3" t="s">
        <v>267</v>
      </c>
      <c r="C38" s="3" t="s">
        <v>268</v>
      </c>
      <c r="D38" s="3" t="s">
        <v>269</v>
      </c>
      <c r="E38" s="2" t="s">
        <v>270</v>
      </c>
      <c r="F38" s="2">
        <v>2012</v>
      </c>
      <c r="G38" s="2" t="s">
        <v>75</v>
      </c>
      <c r="H38" s="2" t="s">
        <v>27</v>
      </c>
      <c r="I38" s="2" t="s">
        <v>45</v>
      </c>
      <c r="J38" s="3" t="s">
        <v>271</v>
      </c>
      <c r="K38" s="3" t="s">
        <v>123</v>
      </c>
    </row>
    <row r="39" spans="1:11" ht="15" customHeight="1" x14ac:dyDescent="0.2">
      <c r="A39" s="2" t="s">
        <v>272</v>
      </c>
      <c r="B39" s="3" t="s">
        <v>273</v>
      </c>
      <c r="C39" s="3" t="s">
        <v>171</v>
      </c>
      <c r="D39" s="3" t="s">
        <v>274</v>
      </c>
      <c r="E39" s="2" t="s">
        <v>275</v>
      </c>
      <c r="F39" s="2">
        <v>2012</v>
      </c>
      <c r="G39" s="2" t="s">
        <v>16</v>
      </c>
      <c r="H39" s="2" t="s">
        <v>27</v>
      </c>
      <c r="I39" s="2" t="s">
        <v>276</v>
      </c>
      <c r="J39" s="3" t="s">
        <v>277</v>
      </c>
      <c r="K39" s="3" t="s">
        <v>78</v>
      </c>
    </row>
    <row r="40" spans="1:11" ht="15" customHeight="1" x14ac:dyDescent="0.2">
      <c r="A40" s="2" t="s">
        <v>278</v>
      </c>
      <c r="B40" s="3" t="s">
        <v>279</v>
      </c>
      <c r="C40" s="3" t="s">
        <v>280</v>
      </c>
      <c r="D40" s="3" t="s">
        <v>281</v>
      </c>
      <c r="E40" s="2" t="s">
        <v>282</v>
      </c>
      <c r="F40" s="2">
        <v>2012</v>
      </c>
      <c r="G40" s="2" t="s">
        <v>75</v>
      </c>
      <c r="H40" s="2" t="s">
        <v>27</v>
      </c>
      <c r="I40" s="2" t="s">
        <v>215</v>
      </c>
      <c r="J40" s="3" t="s">
        <v>283</v>
      </c>
      <c r="K40" s="3" t="s">
        <v>284</v>
      </c>
    </row>
    <row r="41" spans="1:11" ht="15" customHeight="1" x14ac:dyDescent="0.2">
      <c r="A41" s="2" t="s">
        <v>285</v>
      </c>
      <c r="B41" s="3" t="s">
        <v>286</v>
      </c>
      <c r="C41" s="3" t="s">
        <v>287</v>
      </c>
      <c r="D41" s="3" t="s">
        <v>288</v>
      </c>
      <c r="E41" s="2" t="s">
        <v>289</v>
      </c>
      <c r="F41" s="2">
        <v>2013</v>
      </c>
      <c r="G41" s="2" t="s">
        <v>16</v>
      </c>
      <c r="H41" s="2" t="s">
        <v>27</v>
      </c>
      <c r="I41" s="2" t="s">
        <v>226</v>
      </c>
      <c r="J41" s="3" t="s">
        <v>227</v>
      </c>
      <c r="K41" s="3" t="s">
        <v>228</v>
      </c>
    </row>
    <row r="42" spans="1:11" ht="15" customHeight="1" x14ac:dyDescent="0.2">
      <c r="A42" s="2" t="s">
        <v>290</v>
      </c>
      <c r="B42" s="3" t="s">
        <v>165</v>
      </c>
      <c r="C42" s="3" t="s">
        <v>291</v>
      </c>
      <c r="D42" s="3" t="s">
        <v>292</v>
      </c>
      <c r="E42" s="2" t="s">
        <v>293</v>
      </c>
      <c r="F42" s="2">
        <v>2013</v>
      </c>
      <c r="G42" s="2" t="s">
        <v>26</v>
      </c>
      <c r="H42" s="2" t="s">
        <v>174</v>
      </c>
      <c r="I42" s="2" t="s">
        <v>294</v>
      </c>
      <c r="J42" s="3" t="s">
        <v>295</v>
      </c>
      <c r="K42" s="3" t="s">
        <v>296</v>
      </c>
    </row>
    <row r="43" spans="1:11" ht="15" customHeight="1" x14ac:dyDescent="0.2">
      <c r="A43" s="2" t="s">
        <v>297</v>
      </c>
      <c r="B43" s="3" t="s">
        <v>117</v>
      </c>
      <c r="C43" s="3" t="s">
        <v>298</v>
      </c>
      <c r="D43" s="3" t="s">
        <v>299</v>
      </c>
      <c r="E43" s="2" t="s">
        <v>300</v>
      </c>
      <c r="F43" s="2">
        <v>2013</v>
      </c>
      <c r="G43" s="2" t="s">
        <v>75</v>
      </c>
      <c r="H43" s="2" t="s">
        <v>27</v>
      </c>
      <c r="I43" s="2" t="s">
        <v>301</v>
      </c>
      <c r="J43" s="3" t="s">
        <v>302</v>
      </c>
      <c r="K43" s="3" t="s">
        <v>303</v>
      </c>
    </row>
    <row r="44" spans="1:11" ht="15" customHeight="1" x14ac:dyDescent="0.2">
      <c r="A44" s="2" t="s">
        <v>304</v>
      </c>
      <c r="B44" s="3" t="s">
        <v>305</v>
      </c>
      <c r="C44" s="3" t="s">
        <v>298</v>
      </c>
      <c r="D44" s="3" t="s">
        <v>306</v>
      </c>
      <c r="E44" s="2" t="s">
        <v>307</v>
      </c>
      <c r="F44" s="2">
        <v>2013</v>
      </c>
      <c r="G44" s="2" t="s">
        <v>16</v>
      </c>
      <c r="H44" s="2" t="s">
        <v>27</v>
      </c>
      <c r="I44" s="2" t="s">
        <v>91</v>
      </c>
      <c r="J44" s="3" t="s">
        <v>308</v>
      </c>
      <c r="K44" s="3" t="s">
        <v>309</v>
      </c>
    </row>
    <row r="45" spans="1:11" ht="15" customHeight="1" x14ac:dyDescent="0.2">
      <c r="A45" s="2" t="s">
        <v>310</v>
      </c>
      <c r="B45" s="3" t="s">
        <v>22</v>
      </c>
      <c r="C45" s="3" t="s">
        <v>311</v>
      </c>
      <c r="D45" s="3" t="s">
        <v>312</v>
      </c>
      <c r="E45" s="2" t="s">
        <v>313</v>
      </c>
      <c r="F45" s="2">
        <v>2013</v>
      </c>
      <c r="G45" s="2" t="s">
        <v>16</v>
      </c>
      <c r="H45" s="2" t="s">
        <v>27</v>
      </c>
      <c r="I45" s="2" t="s">
        <v>301</v>
      </c>
      <c r="J45" s="3" t="s">
        <v>314</v>
      </c>
      <c r="K45" s="3" t="s">
        <v>315</v>
      </c>
    </row>
    <row r="46" spans="1:11" ht="15" customHeight="1" x14ac:dyDescent="0.2">
      <c r="A46" s="2" t="s">
        <v>316</v>
      </c>
      <c r="B46" s="3" t="s">
        <v>157</v>
      </c>
      <c r="C46" s="3" t="s">
        <v>58</v>
      </c>
      <c r="D46" s="3" t="s">
        <v>317</v>
      </c>
      <c r="E46" s="2" t="s">
        <v>318</v>
      </c>
      <c r="F46" s="2">
        <v>2014</v>
      </c>
      <c r="G46" s="2" t="s">
        <v>16</v>
      </c>
      <c r="H46" s="2" t="s">
        <v>27</v>
      </c>
      <c r="I46" s="2" t="s">
        <v>161</v>
      </c>
      <c r="J46" s="3" t="s">
        <v>319</v>
      </c>
      <c r="K46" s="3" t="s">
        <v>241</v>
      </c>
    </row>
    <row r="47" spans="1:11" ht="15" customHeight="1" x14ac:dyDescent="0.2">
      <c r="A47" s="2" t="s">
        <v>320</v>
      </c>
      <c r="B47" s="3" t="s">
        <v>321</v>
      </c>
      <c r="C47" s="3" t="s">
        <v>291</v>
      </c>
      <c r="D47" s="3" t="s">
        <v>322</v>
      </c>
      <c r="E47" s="2" t="s">
        <v>323</v>
      </c>
      <c r="F47" s="2">
        <v>2014</v>
      </c>
      <c r="G47" s="2" t="s">
        <v>16</v>
      </c>
      <c r="H47" s="2" t="s">
        <v>27</v>
      </c>
      <c r="I47" s="2" t="s">
        <v>324</v>
      </c>
      <c r="J47" s="3" t="s">
        <v>325</v>
      </c>
      <c r="K47" s="3" t="s">
        <v>326</v>
      </c>
    </row>
    <row r="48" spans="1:11" ht="15" customHeight="1" x14ac:dyDescent="0.2">
      <c r="A48" s="2" t="s">
        <v>327</v>
      </c>
      <c r="B48" s="3" t="s">
        <v>328</v>
      </c>
      <c r="C48" s="3" t="s">
        <v>72</v>
      </c>
      <c r="D48" s="3" t="s">
        <v>329</v>
      </c>
      <c r="E48" s="2" t="s">
        <v>330</v>
      </c>
      <c r="F48" s="2">
        <v>2014</v>
      </c>
      <c r="G48" s="2" t="s">
        <v>75</v>
      </c>
      <c r="H48" s="2" t="s">
        <v>27</v>
      </c>
      <c r="I48" s="2" t="s">
        <v>324</v>
      </c>
      <c r="J48" s="3" t="s">
        <v>331</v>
      </c>
      <c r="K48" s="3" t="s">
        <v>332</v>
      </c>
    </row>
    <row r="49" spans="1:11" ht="15" customHeight="1" x14ac:dyDescent="0.2">
      <c r="A49" s="2" t="s">
        <v>333</v>
      </c>
      <c r="B49" s="3" t="s">
        <v>334</v>
      </c>
      <c r="C49" s="3" t="s">
        <v>298</v>
      </c>
      <c r="D49" s="3" t="s">
        <v>335</v>
      </c>
      <c r="E49" s="2" t="s">
        <v>336</v>
      </c>
      <c r="F49" s="2">
        <v>2014</v>
      </c>
      <c r="G49" s="2" t="s">
        <v>16</v>
      </c>
      <c r="H49" s="2" t="s">
        <v>27</v>
      </c>
      <c r="I49" s="2" t="s">
        <v>91</v>
      </c>
      <c r="J49" s="3" t="s">
        <v>247</v>
      </c>
      <c r="K49" s="3" t="s">
        <v>107</v>
      </c>
    </row>
    <row r="50" spans="1:11" ht="15" customHeight="1" x14ac:dyDescent="0.2">
      <c r="A50" s="2" t="s">
        <v>337</v>
      </c>
      <c r="B50" s="3" t="s">
        <v>338</v>
      </c>
      <c r="C50" s="3" t="s">
        <v>339</v>
      </c>
      <c r="D50" s="3" t="s">
        <v>340</v>
      </c>
      <c r="E50" s="2" t="s">
        <v>341</v>
      </c>
      <c r="F50" s="2">
        <v>2014</v>
      </c>
      <c r="G50" s="2" t="s">
        <v>16</v>
      </c>
      <c r="H50" s="2" t="s">
        <v>27</v>
      </c>
      <c r="I50" s="2" t="s">
        <v>83</v>
      </c>
      <c r="J50" s="3" t="s">
        <v>342</v>
      </c>
      <c r="K50" s="3" t="s">
        <v>155</v>
      </c>
    </row>
    <row r="51" spans="1:11" ht="15" customHeight="1" x14ac:dyDescent="0.2">
      <c r="A51" s="2" t="s">
        <v>343</v>
      </c>
      <c r="B51" s="3" t="s">
        <v>344</v>
      </c>
      <c r="C51" s="3" t="s">
        <v>262</v>
      </c>
      <c r="D51" s="3" t="s">
        <v>345</v>
      </c>
      <c r="E51" s="2" t="s">
        <v>346</v>
      </c>
      <c r="F51" s="2">
        <v>2015</v>
      </c>
      <c r="G51" s="2" t="s">
        <v>75</v>
      </c>
      <c r="H51" s="2" t="s">
        <v>27</v>
      </c>
      <c r="I51" s="2" t="s">
        <v>347</v>
      </c>
      <c r="J51" s="3" t="s">
        <v>348</v>
      </c>
      <c r="K51" s="3" t="s">
        <v>349</v>
      </c>
    </row>
    <row r="52" spans="1:11" ht="15" customHeight="1" x14ac:dyDescent="0.2">
      <c r="A52" s="2" t="s">
        <v>350</v>
      </c>
      <c r="B52" s="3" t="s">
        <v>351</v>
      </c>
      <c r="C52" s="3" t="s">
        <v>352</v>
      </c>
      <c r="D52" s="3" t="s">
        <v>353</v>
      </c>
      <c r="E52" s="2" t="s">
        <v>354</v>
      </c>
      <c r="F52" s="2">
        <v>2015</v>
      </c>
      <c r="G52" s="2" t="s">
        <v>16</v>
      </c>
      <c r="H52" s="2" t="s">
        <v>27</v>
      </c>
      <c r="I52" s="2" t="s">
        <v>276</v>
      </c>
      <c r="J52" s="3" t="s">
        <v>355</v>
      </c>
      <c r="K52" s="3" t="s">
        <v>356</v>
      </c>
    </row>
    <row r="53" spans="1:11" ht="15" customHeight="1" x14ac:dyDescent="0.2">
      <c r="A53" s="2" t="s">
        <v>357</v>
      </c>
      <c r="B53" s="3" t="s">
        <v>358</v>
      </c>
      <c r="C53" s="3" t="s">
        <v>33</v>
      </c>
      <c r="D53" s="3" t="s">
        <v>359</v>
      </c>
      <c r="E53" s="2" t="s">
        <v>360</v>
      </c>
      <c r="F53" s="2">
        <v>2015</v>
      </c>
      <c r="G53" s="2" t="s">
        <v>16</v>
      </c>
      <c r="H53" s="2" t="s">
        <v>27</v>
      </c>
      <c r="I53" s="2" t="s">
        <v>361</v>
      </c>
      <c r="J53" s="3" t="s">
        <v>362</v>
      </c>
      <c r="K53" s="3" t="s">
        <v>363</v>
      </c>
    </row>
    <row r="54" spans="1:11" ht="15" customHeight="1" x14ac:dyDescent="0.2">
      <c r="A54" s="2" t="s">
        <v>364</v>
      </c>
      <c r="B54" s="3" t="s">
        <v>117</v>
      </c>
      <c r="C54" s="3" t="s">
        <v>88</v>
      </c>
      <c r="D54" s="3" t="s">
        <v>365</v>
      </c>
      <c r="E54" s="2" t="s">
        <v>366</v>
      </c>
      <c r="F54" s="2">
        <v>2015</v>
      </c>
      <c r="G54" s="2" t="s">
        <v>75</v>
      </c>
      <c r="H54" s="2" t="s">
        <v>27</v>
      </c>
      <c r="I54" s="2" t="s">
        <v>367</v>
      </c>
      <c r="J54" s="3" t="s">
        <v>368</v>
      </c>
      <c r="K54" s="3" t="s">
        <v>349</v>
      </c>
    </row>
    <row r="55" spans="1:11" ht="15" customHeight="1" x14ac:dyDescent="0.2">
      <c r="A55" s="2" t="s">
        <v>369</v>
      </c>
      <c r="B55" s="3" t="s">
        <v>370</v>
      </c>
      <c r="C55" s="3" t="s">
        <v>371</v>
      </c>
      <c r="D55" s="3" t="s">
        <v>372</v>
      </c>
      <c r="E55" s="2" t="s">
        <v>373</v>
      </c>
      <c r="F55" s="2">
        <v>2016</v>
      </c>
      <c r="G55" s="2" t="s">
        <v>16</v>
      </c>
      <c r="H55" s="2" t="s">
        <v>27</v>
      </c>
      <c r="I55" s="2" t="s">
        <v>252</v>
      </c>
      <c r="J55" s="3" t="s">
        <v>374</v>
      </c>
      <c r="K55" s="3" t="s">
        <v>349</v>
      </c>
    </row>
    <row r="56" spans="1:11" ht="15" customHeight="1" x14ac:dyDescent="0.2">
      <c r="A56" s="2" t="s">
        <v>375</v>
      </c>
      <c r="B56" s="3" t="s">
        <v>334</v>
      </c>
      <c r="C56" s="3" t="s">
        <v>180</v>
      </c>
      <c r="D56" s="3" t="s">
        <v>376</v>
      </c>
      <c r="E56" s="2" t="s">
        <v>377</v>
      </c>
      <c r="F56" s="2">
        <v>2016</v>
      </c>
      <c r="G56" s="2" t="s">
        <v>75</v>
      </c>
      <c r="H56" s="2" t="s">
        <v>27</v>
      </c>
      <c r="I56" s="2" t="s">
        <v>28</v>
      </c>
      <c r="J56" s="3" t="s">
        <v>247</v>
      </c>
      <c r="K56" s="3" t="s">
        <v>378</v>
      </c>
    </row>
    <row r="57" spans="1:11" ht="15" customHeight="1" x14ac:dyDescent="0.2">
      <c r="A57" s="2" t="s">
        <v>379</v>
      </c>
      <c r="B57" s="3" t="s">
        <v>261</v>
      </c>
      <c r="C57" s="3" t="s">
        <v>50</v>
      </c>
      <c r="D57" s="3" t="s">
        <v>380</v>
      </c>
      <c r="E57" s="2" t="s">
        <v>381</v>
      </c>
      <c r="F57" s="2">
        <v>2016</v>
      </c>
      <c r="G57" s="2" t="s">
        <v>26</v>
      </c>
      <c r="H57" s="2" t="s">
        <v>174</v>
      </c>
      <c r="I57" s="2" t="s">
        <v>382</v>
      </c>
      <c r="J57" s="3" t="s">
        <v>383</v>
      </c>
      <c r="K57" s="3" t="s">
        <v>177</v>
      </c>
    </row>
    <row r="58" spans="1:11" ht="15" customHeight="1" x14ac:dyDescent="0.2">
      <c r="A58" s="2" t="s">
        <v>384</v>
      </c>
      <c r="B58" s="3" t="s">
        <v>385</v>
      </c>
      <c r="C58" s="3" t="s">
        <v>249</v>
      </c>
      <c r="D58" s="3" t="s">
        <v>386</v>
      </c>
      <c r="E58" s="2" t="s">
        <v>387</v>
      </c>
      <c r="F58" s="2">
        <v>2016</v>
      </c>
      <c r="G58" s="2" t="s">
        <v>16</v>
      </c>
      <c r="H58" s="2" t="s">
        <v>27</v>
      </c>
      <c r="I58" s="2" t="s">
        <v>161</v>
      </c>
      <c r="J58" s="3" t="s">
        <v>388</v>
      </c>
      <c r="K58" s="3" t="s">
        <v>389</v>
      </c>
    </row>
    <row r="59" spans="1:11" ht="15" customHeight="1" x14ac:dyDescent="0.2">
      <c r="A59" s="2" t="s">
        <v>390</v>
      </c>
      <c r="B59" s="3" t="s">
        <v>370</v>
      </c>
      <c r="C59" s="3" t="s">
        <v>391</v>
      </c>
      <c r="D59" s="3" t="s">
        <v>392</v>
      </c>
      <c r="E59" s="2" t="s">
        <v>393</v>
      </c>
      <c r="F59" s="2">
        <v>2016</v>
      </c>
      <c r="G59" s="2" t="s">
        <v>75</v>
      </c>
      <c r="H59" s="2" t="s">
        <v>27</v>
      </c>
      <c r="I59" s="2" t="s">
        <v>394</v>
      </c>
      <c r="J59" s="3" t="s">
        <v>395</v>
      </c>
      <c r="K59" s="3" t="s">
        <v>396</v>
      </c>
    </row>
    <row r="60" spans="1:11" ht="15" customHeight="1" x14ac:dyDescent="0.2">
      <c r="A60" s="2" t="s">
        <v>397</v>
      </c>
      <c r="B60" s="3" t="s">
        <v>205</v>
      </c>
      <c r="C60" s="3" t="s">
        <v>256</v>
      </c>
      <c r="D60" s="3" t="s">
        <v>398</v>
      </c>
      <c r="E60" s="2" t="s">
        <v>399</v>
      </c>
      <c r="F60" s="2">
        <v>2017</v>
      </c>
      <c r="G60" s="2" t="s">
        <v>16</v>
      </c>
      <c r="H60" s="2" t="s">
        <v>27</v>
      </c>
      <c r="I60" s="2" t="s">
        <v>400</v>
      </c>
      <c r="J60" s="3" t="s">
        <v>401</v>
      </c>
      <c r="K60" s="3" t="s">
        <v>389</v>
      </c>
    </row>
    <row r="61" spans="1:11" ht="15" customHeight="1" x14ac:dyDescent="0.2">
      <c r="A61" s="2" t="s">
        <v>402</v>
      </c>
      <c r="B61" s="3" t="s">
        <v>403</v>
      </c>
      <c r="C61" s="3" t="s">
        <v>65</v>
      </c>
      <c r="D61" s="3" t="s">
        <v>404</v>
      </c>
      <c r="E61" s="2" t="s">
        <v>405</v>
      </c>
      <c r="F61" s="2">
        <v>2017</v>
      </c>
      <c r="G61" s="2" t="s">
        <v>16</v>
      </c>
      <c r="H61" s="2" t="s">
        <v>27</v>
      </c>
      <c r="I61" s="2" t="s">
        <v>183</v>
      </c>
      <c r="J61" s="3" t="s">
        <v>406</v>
      </c>
      <c r="K61" s="3" t="s">
        <v>185</v>
      </c>
    </row>
    <row r="62" spans="1:11" ht="15" customHeight="1" x14ac:dyDescent="0.2">
      <c r="A62" s="2" t="s">
        <v>407</v>
      </c>
      <c r="B62" s="3" t="s">
        <v>49</v>
      </c>
      <c r="C62" s="3" t="s">
        <v>262</v>
      </c>
      <c r="D62" s="3" t="s">
        <v>408</v>
      </c>
      <c r="E62" s="2" t="s">
        <v>409</v>
      </c>
      <c r="F62" s="2">
        <v>2017</v>
      </c>
      <c r="G62" s="2" t="s">
        <v>16</v>
      </c>
      <c r="H62" s="2" t="s">
        <v>27</v>
      </c>
      <c r="I62" s="2" t="s">
        <v>294</v>
      </c>
      <c r="J62" s="3" t="s">
        <v>410</v>
      </c>
      <c r="K62" s="3" t="s">
        <v>356</v>
      </c>
    </row>
    <row r="63" spans="1:11" ht="15" customHeight="1" x14ac:dyDescent="0.2">
      <c r="A63" s="2" t="s">
        <v>411</v>
      </c>
      <c r="B63" s="3" t="s">
        <v>351</v>
      </c>
      <c r="C63" s="3" t="s">
        <v>339</v>
      </c>
      <c r="D63" s="3" t="s">
        <v>412</v>
      </c>
      <c r="E63" s="2" t="s">
        <v>413</v>
      </c>
      <c r="F63" s="2">
        <v>2017</v>
      </c>
      <c r="G63" s="2" t="s">
        <v>16</v>
      </c>
      <c r="H63" s="2" t="s">
        <v>27</v>
      </c>
      <c r="I63" s="2" t="s">
        <v>91</v>
      </c>
      <c r="J63" s="3" t="s">
        <v>247</v>
      </c>
      <c r="K63" s="3" t="s">
        <v>414</v>
      </c>
    </row>
    <row r="64" spans="1:11" ht="15" customHeight="1" x14ac:dyDescent="0.2">
      <c r="A64" s="2" t="s">
        <v>415</v>
      </c>
      <c r="B64" s="3" t="s">
        <v>57</v>
      </c>
      <c r="C64" s="3" t="s">
        <v>50</v>
      </c>
      <c r="D64" s="3" t="s">
        <v>416</v>
      </c>
      <c r="E64" s="2" t="s">
        <v>417</v>
      </c>
      <c r="F64" s="2">
        <v>2017</v>
      </c>
      <c r="G64" s="2" t="s">
        <v>16</v>
      </c>
      <c r="H64" s="2" t="s">
        <v>174</v>
      </c>
      <c r="I64" s="2" t="s">
        <v>28</v>
      </c>
      <c r="J64" s="3" t="s">
        <v>418</v>
      </c>
      <c r="K64" s="3" t="s">
        <v>419</v>
      </c>
    </row>
    <row r="65" spans="1:11" ht="15" customHeight="1" x14ac:dyDescent="0.2">
      <c r="A65" s="2" t="s">
        <v>420</v>
      </c>
      <c r="B65" s="3" t="s">
        <v>95</v>
      </c>
      <c r="C65" s="3" t="s">
        <v>421</v>
      </c>
      <c r="D65" s="3" t="s">
        <v>422</v>
      </c>
      <c r="E65" s="2" t="s">
        <v>423</v>
      </c>
      <c r="F65" s="2">
        <v>2018</v>
      </c>
      <c r="G65" s="2" t="s">
        <v>26</v>
      </c>
      <c r="H65" s="2" t="s">
        <v>174</v>
      </c>
      <c r="I65" s="2" t="s">
        <v>324</v>
      </c>
      <c r="J65" s="3" t="s">
        <v>424</v>
      </c>
      <c r="K65" s="3" t="s">
        <v>425</v>
      </c>
    </row>
    <row r="66" spans="1:11" ht="15" customHeight="1" x14ac:dyDescent="0.2">
      <c r="A66" s="2" t="s">
        <v>426</v>
      </c>
      <c r="B66" s="3" t="s">
        <v>41</v>
      </c>
      <c r="C66" s="3" t="s">
        <v>427</v>
      </c>
      <c r="D66" s="3" t="s">
        <v>428</v>
      </c>
      <c r="E66" s="2" t="s">
        <v>429</v>
      </c>
      <c r="F66" s="2">
        <v>2018</v>
      </c>
      <c r="G66" s="2" t="s">
        <v>75</v>
      </c>
      <c r="H66" s="2" t="s">
        <v>174</v>
      </c>
      <c r="I66" s="2" t="s">
        <v>76</v>
      </c>
      <c r="J66" s="3" t="s">
        <v>430</v>
      </c>
      <c r="K66" s="3" t="s">
        <v>78</v>
      </c>
    </row>
    <row r="67" spans="1:11" ht="15" customHeight="1" x14ac:dyDescent="0.2">
      <c r="A67" s="2" t="s">
        <v>431</v>
      </c>
      <c r="B67" s="3" t="s">
        <v>328</v>
      </c>
      <c r="C67" s="3" t="s">
        <v>280</v>
      </c>
      <c r="D67" s="3" t="s">
        <v>432</v>
      </c>
      <c r="E67" s="2" t="s">
        <v>433</v>
      </c>
      <c r="F67" s="2">
        <v>2018</v>
      </c>
      <c r="G67" s="2" t="s">
        <v>75</v>
      </c>
      <c r="H67" s="2" t="s">
        <v>27</v>
      </c>
      <c r="I67" s="2" t="s">
        <v>394</v>
      </c>
      <c r="J67" s="3" t="s">
        <v>395</v>
      </c>
      <c r="K67" s="3" t="s">
        <v>78</v>
      </c>
    </row>
    <row r="68" spans="1:11" ht="15" customHeight="1" x14ac:dyDescent="0.2">
      <c r="A68" s="2" t="s">
        <v>434</v>
      </c>
      <c r="B68" s="3" t="s">
        <v>435</v>
      </c>
      <c r="C68" s="3" t="s">
        <v>188</v>
      </c>
      <c r="D68" s="3" t="s">
        <v>436</v>
      </c>
      <c r="E68" s="2" t="s">
        <v>437</v>
      </c>
      <c r="F68" s="2">
        <v>2018</v>
      </c>
      <c r="G68" s="2" t="s">
        <v>16</v>
      </c>
      <c r="H68" s="2" t="s">
        <v>174</v>
      </c>
      <c r="I68" s="2" t="s">
        <v>276</v>
      </c>
      <c r="J68" s="3" t="s">
        <v>438</v>
      </c>
      <c r="K68" s="3" t="s">
        <v>439</v>
      </c>
    </row>
    <row r="69" spans="1:11" ht="15" customHeight="1" x14ac:dyDescent="0.2">
      <c r="A69" s="2" t="s">
        <v>440</v>
      </c>
      <c r="B69" s="3" t="s">
        <v>305</v>
      </c>
      <c r="C69" s="3" t="s">
        <v>441</v>
      </c>
      <c r="D69" s="3" t="s">
        <v>442</v>
      </c>
      <c r="E69" s="2" t="s">
        <v>443</v>
      </c>
      <c r="F69" s="2">
        <v>2018</v>
      </c>
      <c r="G69" s="2" t="s">
        <v>26</v>
      </c>
      <c r="H69" s="2" t="s">
        <v>174</v>
      </c>
      <c r="I69" s="2" t="s">
        <v>361</v>
      </c>
      <c r="J69" s="3" t="s">
        <v>444</v>
      </c>
      <c r="K69" s="3" t="s">
        <v>47</v>
      </c>
    </row>
    <row r="70" spans="1:11" ht="15" customHeight="1" x14ac:dyDescent="0.2">
      <c r="A70" s="2" t="s">
        <v>445</v>
      </c>
      <c r="B70" s="3" t="s">
        <v>125</v>
      </c>
      <c r="C70" s="3" t="s">
        <v>13</v>
      </c>
      <c r="D70" s="3" t="s">
        <v>446</v>
      </c>
      <c r="E70" s="2" t="s">
        <v>447</v>
      </c>
      <c r="F70" s="2">
        <v>2019</v>
      </c>
      <c r="G70" s="2" t="s">
        <v>26</v>
      </c>
      <c r="H70" s="2" t="s">
        <v>174</v>
      </c>
      <c r="I70" s="2" t="s">
        <v>252</v>
      </c>
      <c r="J70" s="3" t="s">
        <v>448</v>
      </c>
      <c r="K70" s="3" t="s">
        <v>254</v>
      </c>
    </row>
    <row r="71" spans="1:11" ht="15" customHeight="1" x14ac:dyDescent="0.2">
      <c r="A71" s="2" t="s">
        <v>449</v>
      </c>
      <c r="B71" s="3" t="s">
        <v>450</v>
      </c>
      <c r="C71" s="3" t="s">
        <v>262</v>
      </c>
      <c r="D71" s="3" t="s">
        <v>451</v>
      </c>
      <c r="E71" s="2" t="s">
        <v>452</v>
      </c>
      <c r="F71" s="2">
        <v>2019</v>
      </c>
      <c r="G71" s="2" t="s">
        <v>26</v>
      </c>
      <c r="H71" s="2" t="s">
        <v>174</v>
      </c>
      <c r="I71" s="2" t="s">
        <v>113</v>
      </c>
      <c r="J71" s="3" t="s">
        <v>453</v>
      </c>
      <c r="K71" s="3" t="s">
        <v>454</v>
      </c>
    </row>
    <row r="72" spans="1:11" ht="15" customHeight="1" x14ac:dyDescent="0.2">
      <c r="A72" s="2" t="s">
        <v>455</v>
      </c>
      <c r="B72" s="3" t="s">
        <v>267</v>
      </c>
      <c r="C72" s="3" t="s">
        <v>96</v>
      </c>
      <c r="D72" s="3" t="s">
        <v>456</v>
      </c>
      <c r="E72" s="2" t="s">
        <v>457</v>
      </c>
      <c r="F72" s="2">
        <v>2019</v>
      </c>
      <c r="G72" s="2" t="s">
        <v>16</v>
      </c>
      <c r="H72" s="2" t="s">
        <v>174</v>
      </c>
      <c r="I72" s="2" t="s">
        <v>28</v>
      </c>
      <c r="J72" s="3" t="s">
        <v>458</v>
      </c>
      <c r="K72" s="3" t="s">
        <v>459</v>
      </c>
    </row>
    <row r="73" spans="1:11" ht="15" customHeight="1" x14ac:dyDescent="0.2">
      <c r="A73" s="2" t="s">
        <v>460</v>
      </c>
      <c r="B73" s="3" t="s">
        <v>328</v>
      </c>
      <c r="C73" s="3" t="s">
        <v>103</v>
      </c>
      <c r="D73" s="3" t="s">
        <v>461</v>
      </c>
      <c r="E73" s="2" t="s">
        <v>462</v>
      </c>
      <c r="F73" s="2">
        <v>2019</v>
      </c>
      <c r="G73" s="2" t="s">
        <v>16</v>
      </c>
      <c r="H73" s="2" t="s">
        <v>174</v>
      </c>
      <c r="I73" s="2" t="s">
        <v>463</v>
      </c>
      <c r="J73" s="3" t="s">
        <v>464</v>
      </c>
      <c r="K73" s="3" t="s">
        <v>465</v>
      </c>
    </row>
    <row r="74" spans="1:11" ht="15" customHeight="1" x14ac:dyDescent="0.2">
      <c r="A74" s="2" t="s">
        <v>466</v>
      </c>
      <c r="B74" s="3" t="s">
        <v>194</v>
      </c>
      <c r="C74" s="3" t="s">
        <v>268</v>
      </c>
      <c r="D74" s="3" t="s">
        <v>467</v>
      </c>
      <c r="E74" s="2" t="s">
        <v>468</v>
      </c>
      <c r="F74" s="2">
        <v>2019</v>
      </c>
      <c r="G74" s="2" t="s">
        <v>16</v>
      </c>
      <c r="H74" s="2" t="s">
        <v>174</v>
      </c>
      <c r="I74" s="2" t="s">
        <v>83</v>
      </c>
      <c r="J74" s="3" t="s">
        <v>469</v>
      </c>
      <c r="K74" s="3" t="s">
        <v>470</v>
      </c>
    </row>
    <row r="75" spans="1:11" ht="15" customHeight="1" x14ac:dyDescent="0.2">
      <c r="A75" s="2" t="s">
        <v>471</v>
      </c>
      <c r="B75" s="3" t="s">
        <v>230</v>
      </c>
      <c r="C75" s="3" t="s">
        <v>472</v>
      </c>
      <c r="D75" s="3" t="s">
        <v>473</v>
      </c>
      <c r="E75" s="2" t="s">
        <v>474</v>
      </c>
      <c r="F75" s="2">
        <v>2020</v>
      </c>
      <c r="G75" s="2" t="s">
        <v>16</v>
      </c>
      <c r="H75" s="2" t="s">
        <v>174</v>
      </c>
      <c r="I75" s="2" t="s">
        <v>28</v>
      </c>
      <c r="J75" s="3" t="s">
        <v>475</v>
      </c>
      <c r="K75" s="3" t="s">
        <v>476</v>
      </c>
    </row>
    <row r="76" spans="1:11" ht="15" customHeight="1" x14ac:dyDescent="0.2">
      <c r="A76" s="2" t="s">
        <v>477</v>
      </c>
      <c r="B76" s="3" t="s">
        <v>170</v>
      </c>
      <c r="C76" s="3" t="s">
        <v>103</v>
      </c>
      <c r="D76" s="3" t="s">
        <v>478</v>
      </c>
      <c r="E76" s="2" t="s">
        <v>479</v>
      </c>
      <c r="F76" s="2">
        <v>2020</v>
      </c>
      <c r="G76" s="2" t="s">
        <v>16</v>
      </c>
      <c r="H76" s="2" t="s">
        <v>174</v>
      </c>
      <c r="I76" s="2" t="s">
        <v>121</v>
      </c>
      <c r="J76" s="3" t="s">
        <v>480</v>
      </c>
      <c r="K76" s="3" t="s">
        <v>136</v>
      </c>
    </row>
    <row r="77" spans="1:11" ht="15" customHeight="1" x14ac:dyDescent="0.2">
      <c r="A77" s="2" t="s">
        <v>481</v>
      </c>
      <c r="B77" s="3" t="s">
        <v>87</v>
      </c>
      <c r="C77" s="3" t="s">
        <v>482</v>
      </c>
      <c r="D77" s="3" t="s">
        <v>483</v>
      </c>
      <c r="E77" s="2" t="s">
        <v>484</v>
      </c>
      <c r="F77" s="2">
        <v>2020</v>
      </c>
      <c r="G77" s="2" t="s">
        <v>26</v>
      </c>
      <c r="H77" s="2" t="s">
        <v>174</v>
      </c>
      <c r="I77" s="2" t="s">
        <v>382</v>
      </c>
      <c r="J77" s="3" t="s">
        <v>485</v>
      </c>
      <c r="K77" s="3" t="s">
        <v>115</v>
      </c>
    </row>
    <row r="78" spans="1:11" ht="15" customHeight="1" x14ac:dyDescent="0.2">
      <c r="A78" s="2" t="s">
        <v>486</v>
      </c>
      <c r="B78" s="3" t="s">
        <v>32</v>
      </c>
      <c r="C78" s="3" t="s">
        <v>352</v>
      </c>
      <c r="D78" s="3" t="s">
        <v>487</v>
      </c>
      <c r="E78" s="2" t="s">
        <v>488</v>
      </c>
      <c r="F78" s="2">
        <v>2020</v>
      </c>
      <c r="G78" s="2" t="s">
        <v>16</v>
      </c>
      <c r="H78" s="2" t="s">
        <v>174</v>
      </c>
      <c r="I78" s="2" t="s">
        <v>394</v>
      </c>
      <c r="J78" s="3" t="s">
        <v>489</v>
      </c>
      <c r="K78" s="3" t="s">
        <v>396</v>
      </c>
    </row>
    <row r="79" spans="1:11" ht="15" customHeight="1" x14ac:dyDescent="0.2">
      <c r="A79" s="2" t="s">
        <v>490</v>
      </c>
      <c r="B79" s="3" t="s">
        <v>491</v>
      </c>
      <c r="C79" s="3" t="s">
        <v>492</v>
      </c>
      <c r="D79" s="3" t="s">
        <v>493</v>
      </c>
      <c r="E79" s="2" t="s">
        <v>494</v>
      </c>
      <c r="F79" s="2">
        <v>2020</v>
      </c>
      <c r="G79" s="2" t="s">
        <v>16</v>
      </c>
      <c r="H79" s="2" t="s">
        <v>174</v>
      </c>
      <c r="I79" s="2" t="s">
        <v>148</v>
      </c>
      <c r="J79" s="3" t="s">
        <v>495</v>
      </c>
      <c r="K79" s="3" t="s">
        <v>439</v>
      </c>
    </row>
    <row r="80" spans="1:11" ht="15" customHeight="1" x14ac:dyDescent="0.2">
      <c r="A80" s="2" t="s">
        <v>496</v>
      </c>
      <c r="B80" s="3" t="s">
        <v>344</v>
      </c>
      <c r="C80" s="3" t="s">
        <v>497</v>
      </c>
      <c r="D80" s="3" t="s">
        <v>498</v>
      </c>
      <c r="E80" s="2" t="s">
        <v>499</v>
      </c>
      <c r="F80" s="2">
        <v>2021</v>
      </c>
      <c r="G80" s="2" t="s">
        <v>16</v>
      </c>
      <c r="H80" s="2" t="s">
        <v>174</v>
      </c>
      <c r="I80" s="2" t="s">
        <v>226</v>
      </c>
      <c r="J80" s="3" t="s">
        <v>500</v>
      </c>
      <c r="K80" s="3" t="s">
        <v>155</v>
      </c>
    </row>
    <row r="81" spans="1:11" ht="15" customHeight="1" x14ac:dyDescent="0.2">
      <c r="A81" s="2" t="s">
        <v>501</v>
      </c>
      <c r="B81" s="3" t="s">
        <v>32</v>
      </c>
      <c r="C81" s="3" t="s">
        <v>65</v>
      </c>
      <c r="D81" s="3" t="s">
        <v>502</v>
      </c>
      <c r="E81" s="2" t="s">
        <v>503</v>
      </c>
      <c r="F81" s="2">
        <v>2021</v>
      </c>
      <c r="G81" s="2" t="s">
        <v>75</v>
      </c>
      <c r="H81" s="2" t="s">
        <v>174</v>
      </c>
      <c r="I81" s="2" t="s">
        <v>28</v>
      </c>
      <c r="J81" s="3" t="s">
        <v>504</v>
      </c>
      <c r="K81" s="3" t="s">
        <v>414</v>
      </c>
    </row>
    <row r="82" spans="1:11" ht="15" customHeight="1" x14ac:dyDescent="0.2">
      <c r="A82" s="2" t="s">
        <v>505</v>
      </c>
      <c r="B82" s="3" t="s">
        <v>506</v>
      </c>
      <c r="C82" s="3" t="s">
        <v>291</v>
      </c>
      <c r="D82" s="3" t="s">
        <v>507</v>
      </c>
      <c r="E82" s="2" t="s">
        <v>508</v>
      </c>
      <c r="F82" s="2">
        <v>2021</v>
      </c>
      <c r="G82" s="2" t="s">
        <v>75</v>
      </c>
      <c r="H82" s="2" t="s">
        <v>174</v>
      </c>
      <c r="I82" s="2" t="s">
        <v>394</v>
      </c>
      <c r="J82" s="3" t="s">
        <v>489</v>
      </c>
      <c r="K82" s="3" t="s">
        <v>396</v>
      </c>
    </row>
    <row r="83" spans="1:11" ht="15" customHeight="1" x14ac:dyDescent="0.2">
      <c r="A83" s="2" t="s">
        <v>509</v>
      </c>
      <c r="B83" s="3" t="s">
        <v>510</v>
      </c>
      <c r="C83" s="3" t="s">
        <v>291</v>
      </c>
      <c r="D83" s="3" t="s">
        <v>511</v>
      </c>
      <c r="E83" s="2" t="s">
        <v>512</v>
      </c>
      <c r="F83" s="2">
        <v>2021</v>
      </c>
      <c r="G83" s="2" t="s">
        <v>16</v>
      </c>
      <c r="H83" s="2" t="s">
        <v>174</v>
      </c>
      <c r="I83" s="2" t="s">
        <v>76</v>
      </c>
      <c r="J83" s="3" t="s">
        <v>513</v>
      </c>
      <c r="K83" s="3" t="s">
        <v>241</v>
      </c>
    </row>
    <row r="84" spans="1:11" ht="15" customHeight="1" x14ac:dyDescent="0.2">
      <c r="A84" s="2" t="s">
        <v>514</v>
      </c>
      <c r="B84" s="3" t="s">
        <v>344</v>
      </c>
      <c r="C84" s="3" t="s">
        <v>515</v>
      </c>
      <c r="D84" s="3" t="s">
        <v>516</v>
      </c>
      <c r="E84" s="2" t="s">
        <v>517</v>
      </c>
      <c r="F84" s="2">
        <v>2022</v>
      </c>
      <c r="G84" s="2" t="s">
        <v>16</v>
      </c>
      <c r="H84" s="2" t="s">
        <v>174</v>
      </c>
      <c r="I84" s="2" t="s">
        <v>367</v>
      </c>
      <c r="J84" s="3" t="s">
        <v>518</v>
      </c>
      <c r="K84" s="3" t="s">
        <v>123</v>
      </c>
    </row>
    <row r="85" spans="1:11" ht="15" customHeight="1" x14ac:dyDescent="0.2">
      <c r="A85" s="2" t="s">
        <v>519</v>
      </c>
      <c r="B85" s="3" t="s">
        <v>520</v>
      </c>
      <c r="C85" s="3" t="s">
        <v>521</v>
      </c>
      <c r="D85" s="3" t="s">
        <v>522</v>
      </c>
      <c r="E85" s="2" t="s">
        <v>523</v>
      </c>
      <c r="F85" s="2">
        <v>2022</v>
      </c>
      <c r="G85" s="2" t="s">
        <v>16</v>
      </c>
      <c r="H85" s="2" t="s">
        <v>174</v>
      </c>
      <c r="I85" s="2" t="s">
        <v>382</v>
      </c>
      <c r="J85" s="3" t="s">
        <v>524</v>
      </c>
      <c r="K85" s="3" t="s">
        <v>155</v>
      </c>
    </row>
    <row r="86" spans="1:11" ht="15" customHeight="1" x14ac:dyDescent="0.2">
      <c r="A86" s="2" t="s">
        <v>525</v>
      </c>
      <c r="B86" s="3" t="s">
        <v>526</v>
      </c>
      <c r="C86" s="3" t="s">
        <v>527</v>
      </c>
      <c r="D86" s="3" t="s">
        <v>528</v>
      </c>
      <c r="E86" s="2" t="s">
        <v>529</v>
      </c>
      <c r="F86" s="2">
        <v>2022</v>
      </c>
      <c r="G86" s="2" t="s">
        <v>16</v>
      </c>
      <c r="H86" s="2" t="s">
        <v>174</v>
      </c>
      <c r="I86" s="2" t="s">
        <v>530</v>
      </c>
      <c r="J86" s="3" t="s">
        <v>531</v>
      </c>
      <c r="K86" s="3" t="s">
        <v>78</v>
      </c>
    </row>
    <row r="87" spans="1:11" ht="15" customHeight="1" x14ac:dyDescent="0.2">
      <c r="A87" s="2" t="s">
        <v>532</v>
      </c>
      <c r="B87" s="3" t="s">
        <v>533</v>
      </c>
      <c r="C87" s="3" t="s">
        <v>291</v>
      </c>
      <c r="D87" s="3" t="s">
        <v>534</v>
      </c>
      <c r="E87" s="2" t="s">
        <v>535</v>
      </c>
      <c r="F87" s="2">
        <v>2022</v>
      </c>
      <c r="G87" s="2" t="s">
        <v>16</v>
      </c>
      <c r="H87" s="2" t="s">
        <v>174</v>
      </c>
      <c r="I87" s="2" t="s">
        <v>28</v>
      </c>
      <c r="J87" s="3" t="s">
        <v>536</v>
      </c>
      <c r="K87" s="3" t="s">
        <v>537</v>
      </c>
    </row>
    <row r="88" spans="1:11" ht="15" customHeight="1" x14ac:dyDescent="0.2">
      <c r="A88" s="2" t="s">
        <v>538</v>
      </c>
      <c r="B88" s="3" t="s">
        <v>539</v>
      </c>
      <c r="C88" s="3" t="s">
        <v>126</v>
      </c>
      <c r="D88" s="3" t="s">
        <v>540</v>
      </c>
      <c r="E88" s="2" t="s">
        <v>541</v>
      </c>
      <c r="F88" s="2">
        <v>2022</v>
      </c>
      <c r="G88" s="2" t="s">
        <v>16</v>
      </c>
      <c r="H88" s="2" t="s">
        <v>542</v>
      </c>
      <c r="I88" s="2" t="s">
        <v>367</v>
      </c>
      <c r="J88" s="3" t="s">
        <v>518</v>
      </c>
      <c r="K88" s="3" t="s">
        <v>136</v>
      </c>
    </row>
    <row r="89" spans="1:11" ht="15" customHeight="1" x14ac:dyDescent="0.2">
      <c r="A89" s="2" t="s">
        <v>543</v>
      </c>
      <c r="B89" s="3" t="s">
        <v>321</v>
      </c>
      <c r="C89" s="3" t="s">
        <v>515</v>
      </c>
      <c r="D89" s="3" t="s">
        <v>544</v>
      </c>
      <c r="E89" s="2" t="s">
        <v>545</v>
      </c>
      <c r="F89" s="2">
        <v>2023</v>
      </c>
      <c r="G89" s="2" t="s">
        <v>16</v>
      </c>
      <c r="H89" s="2" t="s">
        <v>542</v>
      </c>
      <c r="I89" s="2" t="s">
        <v>367</v>
      </c>
      <c r="J89" s="3" t="s">
        <v>546</v>
      </c>
      <c r="K89" s="3" t="s">
        <v>349</v>
      </c>
    </row>
    <row r="90" spans="1:11" ht="15" customHeight="1" x14ac:dyDescent="0.2">
      <c r="A90" s="2" t="s">
        <v>547</v>
      </c>
      <c r="B90" s="3" t="s">
        <v>491</v>
      </c>
      <c r="C90" s="3" t="s">
        <v>126</v>
      </c>
      <c r="D90" s="3" t="s">
        <v>548</v>
      </c>
      <c r="E90" s="2" t="s">
        <v>549</v>
      </c>
      <c r="F90" s="2">
        <v>2023</v>
      </c>
      <c r="G90" s="2" t="s">
        <v>16</v>
      </c>
      <c r="H90" s="2" t="s">
        <v>542</v>
      </c>
      <c r="I90" s="2" t="s">
        <v>175</v>
      </c>
      <c r="J90" s="3" t="s">
        <v>550</v>
      </c>
      <c r="K90" s="3" t="s">
        <v>315</v>
      </c>
    </row>
    <row r="91" spans="1:11" ht="15" customHeight="1" x14ac:dyDescent="0.2">
      <c r="A91" s="2" t="s">
        <v>551</v>
      </c>
      <c r="B91" s="3" t="s">
        <v>552</v>
      </c>
      <c r="C91" s="3" t="s">
        <v>139</v>
      </c>
      <c r="D91" s="3" t="s">
        <v>553</v>
      </c>
      <c r="E91" s="2" t="s">
        <v>554</v>
      </c>
      <c r="F91" s="2">
        <v>2023</v>
      </c>
      <c r="G91" s="2" t="s">
        <v>16</v>
      </c>
      <c r="H91" s="2" t="s">
        <v>542</v>
      </c>
      <c r="I91" s="2" t="s">
        <v>530</v>
      </c>
      <c r="J91" s="3" t="s">
        <v>531</v>
      </c>
      <c r="K91" s="3" t="s">
        <v>123</v>
      </c>
    </row>
    <row r="92" spans="1:11" ht="15" customHeight="1" x14ac:dyDescent="0.2">
      <c r="A92" s="2" t="s">
        <v>555</v>
      </c>
      <c r="B92" s="3" t="s">
        <v>520</v>
      </c>
      <c r="C92" s="3" t="s">
        <v>219</v>
      </c>
      <c r="D92" s="3" t="s">
        <v>556</v>
      </c>
      <c r="E92" s="2" t="s">
        <v>557</v>
      </c>
      <c r="F92" s="2">
        <v>2023</v>
      </c>
      <c r="G92" s="2" t="s">
        <v>16</v>
      </c>
      <c r="H92" s="2" t="s">
        <v>542</v>
      </c>
      <c r="I92" s="2" t="s">
        <v>367</v>
      </c>
      <c r="J92" s="3" t="s">
        <v>558</v>
      </c>
      <c r="K92" s="3" t="s">
        <v>356</v>
      </c>
    </row>
    <row r="93" spans="1:11" ht="15" customHeight="1" x14ac:dyDescent="0.2">
      <c r="A93" s="2" t="s">
        <v>559</v>
      </c>
      <c r="B93" s="3" t="s">
        <v>560</v>
      </c>
      <c r="C93" s="3" t="s">
        <v>58</v>
      </c>
      <c r="D93" s="3" t="s">
        <v>561</v>
      </c>
      <c r="E93" s="2" t="s">
        <v>562</v>
      </c>
      <c r="F93" s="2">
        <v>2024</v>
      </c>
      <c r="G93" s="2" t="s">
        <v>16</v>
      </c>
      <c r="H93" s="2" t="s">
        <v>542</v>
      </c>
      <c r="I93" s="2" t="s">
        <v>28</v>
      </c>
      <c r="J93" s="3" t="s">
        <v>536</v>
      </c>
      <c r="K93" s="3" t="s">
        <v>476</v>
      </c>
    </row>
    <row r="94" spans="1:11" ht="15" customHeight="1" x14ac:dyDescent="0.2">
      <c r="A94" s="2" t="s">
        <v>563</v>
      </c>
      <c r="B94" s="3" t="s">
        <v>157</v>
      </c>
      <c r="C94" s="3" t="s">
        <v>564</v>
      </c>
      <c r="D94" s="3" t="s">
        <v>565</v>
      </c>
      <c r="E94" s="2" t="s">
        <v>566</v>
      </c>
      <c r="F94" s="2">
        <v>2024</v>
      </c>
      <c r="G94" s="2" t="s">
        <v>16</v>
      </c>
      <c r="H94" s="2" t="s">
        <v>542</v>
      </c>
      <c r="I94" s="2" t="s">
        <v>226</v>
      </c>
      <c r="J94" s="3" t="s">
        <v>567</v>
      </c>
      <c r="K94" s="3" t="s">
        <v>568</v>
      </c>
    </row>
    <row r="95" spans="1:11" ht="15" customHeight="1" x14ac:dyDescent="0.2">
      <c r="A95" s="2" t="s">
        <v>569</v>
      </c>
      <c r="B95" s="3" t="s">
        <v>138</v>
      </c>
      <c r="C95" s="3" t="s">
        <v>145</v>
      </c>
      <c r="D95" s="3" t="s">
        <v>570</v>
      </c>
      <c r="E95" s="2" t="s">
        <v>571</v>
      </c>
      <c r="F95" s="2">
        <v>2024</v>
      </c>
      <c r="G95" s="2" t="s">
        <v>16</v>
      </c>
      <c r="H95" s="2" t="s">
        <v>542</v>
      </c>
      <c r="I95" s="2" t="s">
        <v>175</v>
      </c>
      <c r="J95" s="3" t="s">
        <v>572</v>
      </c>
      <c r="K95" s="3" t="s">
        <v>573</v>
      </c>
    </row>
    <row r="96" spans="1:11" ht="15" customHeight="1" x14ac:dyDescent="0.2">
      <c r="A96" s="2" t="s">
        <v>574</v>
      </c>
      <c r="B96" s="3" t="s">
        <v>109</v>
      </c>
      <c r="C96" s="3" t="s">
        <v>249</v>
      </c>
      <c r="D96" s="3" t="s">
        <v>575</v>
      </c>
      <c r="E96" s="2" t="s">
        <v>576</v>
      </c>
      <c r="F96" s="2">
        <v>2024</v>
      </c>
      <c r="G96" s="2" t="s">
        <v>16</v>
      </c>
      <c r="H96" s="2" t="s">
        <v>542</v>
      </c>
      <c r="I96" s="2" t="s">
        <v>28</v>
      </c>
      <c r="J96" s="3" t="s">
        <v>458</v>
      </c>
      <c r="K96" s="3" t="s">
        <v>459</v>
      </c>
    </row>
    <row r="97" spans="1:11" ht="15" customHeight="1" x14ac:dyDescent="0.2">
      <c r="A97" s="2" t="s">
        <v>577</v>
      </c>
      <c r="B97" s="3" t="s">
        <v>403</v>
      </c>
      <c r="C97" s="3" t="s">
        <v>578</v>
      </c>
      <c r="D97" s="3" t="s">
        <v>579</v>
      </c>
      <c r="E97" s="2" t="s">
        <v>580</v>
      </c>
      <c r="F97" s="2">
        <v>2024</v>
      </c>
      <c r="G97" s="2" t="s">
        <v>16</v>
      </c>
      <c r="H97" s="2" t="s">
        <v>542</v>
      </c>
      <c r="I97" s="2" t="s">
        <v>581</v>
      </c>
      <c r="J97" s="3" t="s">
        <v>582</v>
      </c>
      <c r="K97" s="3" t="s">
        <v>123</v>
      </c>
    </row>
    <row r="98" spans="1:11" ht="15" customHeight="1" x14ac:dyDescent="0.2">
      <c r="A98" s="2" t="s">
        <v>583</v>
      </c>
      <c r="B98" s="3" t="s">
        <v>584</v>
      </c>
      <c r="C98" s="3" t="s">
        <v>585</v>
      </c>
      <c r="D98" s="3" t="s">
        <v>586</v>
      </c>
      <c r="E98" s="2" t="s">
        <v>587</v>
      </c>
      <c r="F98" s="2">
        <v>2025</v>
      </c>
      <c r="G98" s="2" t="s">
        <v>16</v>
      </c>
      <c r="H98" s="2" t="s">
        <v>588</v>
      </c>
      <c r="I98" s="2" t="s">
        <v>28</v>
      </c>
      <c r="J98" s="3" t="s">
        <v>504</v>
      </c>
      <c r="K98" s="3" t="s">
        <v>589</v>
      </c>
    </row>
    <row r="99" spans="1:11" ht="15" customHeight="1" x14ac:dyDescent="0.2">
      <c r="A99" s="2" t="s">
        <v>590</v>
      </c>
      <c r="B99" s="3" t="s">
        <v>510</v>
      </c>
      <c r="C99" s="3" t="s">
        <v>13</v>
      </c>
      <c r="D99" s="3" t="s">
        <v>591</v>
      </c>
      <c r="E99" s="2" t="s">
        <v>592</v>
      </c>
      <c r="F99" s="2">
        <v>2025</v>
      </c>
      <c r="G99" s="2" t="s">
        <v>16</v>
      </c>
      <c r="H99" s="2" t="s">
        <v>588</v>
      </c>
      <c r="I99" s="2" t="s">
        <v>226</v>
      </c>
      <c r="J99" s="3" t="s">
        <v>500</v>
      </c>
      <c r="K99" s="3" t="s">
        <v>155</v>
      </c>
    </row>
    <row r="100" spans="1:11" ht="15" customHeight="1" x14ac:dyDescent="0.2">
      <c r="A100" s="2" t="s">
        <v>593</v>
      </c>
      <c r="B100" s="3" t="s">
        <v>506</v>
      </c>
      <c r="C100" s="3" t="s">
        <v>594</v>
      </c>
      <c r="D100" s="3" t="s">
        <v>595</v>
      </c>
      <c r="E100" s="2" t="s">
        <v>596</v>
      </c>
      <c r="F100" s="2">
        <v>2025</v>
      </c>
      <c r="G100" s="2" t="s">
        <v>16</v>
      </c>
      <c r="H100" s="2" t="s">
        <v>588</v>
      </c>
      <c r="I100" s="2" t="s">
        <v>121</v>
      </c>
      <c r="J100" s="3" t="s">
        <v>597</v>
      </c>
      <c r="K100" s="3" t="s">
        <v>136</v>
      </c>
    </row>
    <row r="101" spans="1:11" ht="15" customHeight="1" x14ac:dyDescent="0.2">
      <c r="A101" s="2" t="s">
        <v>598</v>
      </c>
      <c r="B101" s="3" t="s">
        <v>261</v>
      </c>
      <c r="C101" s="3" t="s">
        <v>42</v>
      </c>
      <c r="D101" s="3" t="s">
        <v>599</v>
      </c>
      <c r="E101" s="2" t="s">
        <v>600</v>
      </c>
      <c r="F101" s="2">
        <v>2025</v>
      </c>
      <c r="G101" s="2" t="s">
        <v>16</v>
      </c>
      <c r="H101" s="2" t="s">
        <v>588</v>
      </c>
      <c r="I101" s="2" t="s">
        <v>148</v>
      </c>
      <c r="J101" s="3" t="s">
        <v>601</v>
      </c>
      <c r="K101" s="3" t="s">
        <v>439</v>
      </c>
    </row>
  </sheetData>
  <autoFilter ref="A1:K1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48" customWidth="1"/>
    <col min="3" max="3" width="12" customWidth="1"/>
  </cols>
  <sheetData>
    <row r="1" spans="1:3" ht="30" customHeight="1" x14ac:dyDescent="0.2">
      <c r="A1" s="1" t="s">
        <v>8</v>
      </c>
      <c r="B1" s="1" t="s">
        <v>602</v>
      </c>
      <c r="C1" s="1" t="s">
        <v>603</v>
      </c>
    </row>
    <row r="2" spans="1:3" ht="15" customHeight="1" x14ac:dyDescent="0.2">
      <c r="A2" s="4" t="s">
        <v>28</v>
      </c>
      <c r="B2" s="4" t="s">
        <v>604</v>
      </c>
      <c r="C2" s="4" t="s">
        <v>605</v>
      </c>
    </row>
    <row r="3" spans="1:3" ht="15" customHeight="1" x14ac:dyDescent="0.2">
      <c r="A3" s="4" t="s">
        <v>361</v>
      </c>
      <c r="B3" s="4" t="s">
        <v>606</v>
      </c>
      <c r="C3" s="4" t="s">
        <v>605</v>
      </c>
    </row>
    <row r="4" spans="1:3" ht="15" customHeight="1" x14ac:dyDescent="0.2">
      <c r="A4" s="4" t="s">
        <v>246</v>
      </c>
      <c r="B4" s="4" t="s">
        <v>607</v>
      </c>
      <c r="C4" s="4" t="s">
        <v>605</v>
      </c>
    </row>
    <row r="5" spans="1:3" ht="15" customHeight="1" x14ac:dyDescent="0.2">
      <c r="A5" s="4" t="s">
        <v>91</v>
      </c>
      <c r="B5" s="4" t="s">
        <v>608</v>
      </c>
      <c r="C5" s="4" t="s">
        <v>605</v>
      </c>
    </row>
    <row r="6" spans="1:3" ht="15" customHeight="1" x14ac:dyDescent="0.2">
      <c r="A6" s="4" t="s">
        <v>113</v>
      </c>
      <c r="B6" s="4" t="s">
        <v>609</v>
      </c>
      <c r="C6" s="4" t="s">
        <v>610</v>
      </c>
    </row>
    <row r="7" spans="1:3" ht="15" customHeight="1" x14ac:dyDescent="0.2">
      <c r="A7" s="4" t="s">
        <v>463</v>
      </c>
      <c r="B7" s="4" t="s">
        <v>611</v>
      </c>
      <c r="C7" s="4" t="s">
        <v>610</v>
      </c>
    </row>
    <row r="8" spans="1:3" ht="15" customHeight="1" x14ac:dyDescent="0.2">
      <c r="A8" s="4" t="s">
        <v>394</v>
      </c>
      <c r="B8" s="4" t="s">
        <v>612</v>
      </c>
      <c r="C8" s="4" t="s">
        <v>610</v>
      </c>
    </row>
    <row r="9" spans="1:3" ht="15" customHeight="1" x14ac:dyDescent="0.2">
      <c r="A9" s="4" t="s">
        <v>400</v>
      </c>
      <c r="B9" s="4" t="s">
        <v>613</v>
      </c>
      <c r="C9" s="4" t="s">
        <v>610</v>
      </c>
    </row>
    <row r="10" spans="1:3" ht="15" customHeight="1" x14ac:dyDescent="0.2">
      <c r="A10" s="4" t="s">
        <v>83</v>
      </c>
      <c r="B10" s="4" t="s">
        <v>614</v>
      </c>
      <c r="C10" s="4" t="s">
        <v>610</v>
      </c>
    </row>
    <row r="11" spans="1:3" ht="15" customHeight="1" x14ac:dyDescent="0.2">
      <c r="A11" s="4" t="s">
        <v>226</v>
      </c>
      <c r="B11" s="4" t="s">
        <v>615</v>
      </c>
      <c r="C11" s="4" t="s">
        <v>610</v>
      </c>
    </row>
    <row r="12" spans="1:3" ht="15" customHeight="1" x14ac:dyDescent="0.2">
      <c r="A12" s="4" t="s">
        <v>76</v>
      </c>
      <c r="B12" s="4" t="s">
        <v>616</v>
      </c>
      <c r="C12" s="4" t="s">
        <v>610</v>
      </c>
    </row>
    <row r="13" spans="1:3" ht="15" customHeight="1" x14ac:dyDescent="0.2">
      <c r="A13" s="4" t="s">
        <v>382</v>
      </c>
      <c r="B13" s="4" t="s">
        <v>617</v>
      </c>
      <c r="C13" s="4" t="s">
        <v>610</v>
      </c>
    </row>
    <row r="14" spans="1:3" ht="15" customHeight="1" x14ac:dyDescent="0.2">
      <c r="A14" s="4" t="s">
        <v>175</v>
      </c>
      <c r="B14" s="4" t="s">
        <v>618</v>
      </c>
      <c r="C14" s="4" t="s">
        <v>610</v>
      </c>
    </row>
    <row r="15" spans="1:3" ht="15" customHeight="1" x14ac:dyDescent="0.2">
      <c r="A15" s="4" t="s">
        <v>45</v>
      </c>
      <c r="B15" s="4" t="s">
        <v>619</v>
      </c>
      <c r="C15" s="4" t="s">
        <v>610</v>
      </c>
    </row>
    <row r="16" spans="1:3" ht="15" customHeight="1" x14ac:dyDescent="0.2">
      <c r="A16" s="4" t="s">
        <v>530</v>
      </c>
      <c r="B16" s="4" t="s">
        <v>620</v>
      </c>
      <c r="C16" s="4" t="s">
        <v>610</v>
      </c>
    </row>
    <row r="17" spans="1:3" ht="15" customHeight="1" x14ac:dyDescent="0.2">
      <c r="A17" s="4" t="s">
        <v>161</v>
      </c>
      <c r="B17" s="4" t="s">
        <v>621</v>
      </c>
      <c r="C17" s="4" t="s">
        <v>610</v>
      </c>
    </row>
    <row r="18" spans="1:3" ht="15" customHeight="1" x14ac:dyDescent="0.2">
      <c r="A18" s="4" t="s">
        <v>276</v>
      </c>
      <c r="B18" s="4" t="s">
        <v>622</v>
      </c>
      <c r="C18" s="4" t="s">
        <v>610</v>
      </c>
    </row>
    <row r="19" spans="1:3" ht="15" customHeight="1" x14ac:dyDescent="0.2">
      <c r="A19" s="4" t="s">
        <v>581</v>
      </c>
      <c r="B19" s="4" t="s">
        <v>623</v>
      </c>
      <c r="C19" s="4" t="s">
        <v>610</v>
      </c>
    </row>
    <row r="20" spans="1:3" ht="15" customHeight="1" x14ac:dyDescent="0.2">
      <c r="A20" s="4" t="s">
        <v>301</v>
      </c>
      <c r="B20" s="4" t="s">
        <v>624</v>
      </c>
      <c r="C20" s="4" t="s">
        <v>610</v>
      </c>
    </row>
    <row r="21" spans="1:3" ht="15" customHeight="1" x14ac:dyDescent="0.2">
      <c r="A21" s="4" t="s">
        <v>324</v>
      </c>
      <c r="B21" s="4" t="s">
        <v>625</v>
      </c>
      <c r="C21" s="4" t="s">
        <v>610</v>
      </c>
    </row>
    <row r="22" spans="1:3" ht="15" customHeight="1" x14ac:dyDescent="0.2">
      <c r="A22" s="4" t="s">
        <v>626</v>
      </c>
      <c r="B22" s="4" t="s">
        <v>627</v>
      </c>
      <c r="C22" s="4" t="s">
        <v>610</v>
      </c>
    </row>
    <row r="23" spans="1:3" ht="15" customHeight="1" x14ac:dyDescent="0.2">
      <c r="A23" s="4" t="s">
        <v>148</v>
      </c>
      <c r="B23" s="4" t="s">
        <v>628</v>
      </c>
      <c r="C23" s="4" t="s">
        <v>610</v>
      </c>
    </row>
    <row r="24" spans="1:3" ht="15" customHeight="1" x14ac:dyDescent="0.2">
      <c r="A24" s="4" t="s">
        <v>183</v>
      </c>
      <c r="B24" s="4" t="s">
        <v>629</v>
      </c>
      <c r="C24" s="4" t="s">
        <v>610</v>
      </c>
    </row>
    <row r="25" spans="1:3" ht="15" customHeight="1" x14ac:dyDescent="0.2">
      <c r="A25" s="4" t="s">
        <v>215</v>
      </c>
      <c r="B25" s="4" t="s">
        <v>630</v>
      </c>
      <c r="C25" s="4" t="s">
        <v>610</v>
      </c>
    </row>
    <row r="26" spans="1:3" ht="15" customHeight="1" x14ac:dyDescent="0.2">
      <c r="A26" s="4" t="s">
        <v>631</v>
      </c>
      <c r="B26" s="4" t="s">
        <v>632</v>
      </c>
      <c r="C26" s="4" t="s">
        <v>610</v>
      </c>
    </row>
    <row r="27" spans="1:3" ht="15" customHeight="1" x14ac:dyDescent="0.2">
      <c r="A27" s="4" t="s">
        <v>633</v>
      </c>
      <c r="B27" s="4" t="s">
        <v>634</v>
      </c>
      <c r="C27" s="4" t="s">
        <v>610</v>
      </c>
    </row>
    <row r="28" spans="1:3" ht="15" customHeight="1" x14ac:dyDescent="0.2">
      <c r="A28" s="4" t="s">
        <v>18</v>
      </c>
      <c r="B28" s="4" t="s">
        <v>635</v>
      </c>
      <c r="C28" s="4" t="s">
        <v>610</v>
      </c>
    </row>
    <row r="29" spans="1:3" ht="15" customHeight="1" x14ac:dyDescent="0.2">
      <c r="A29" s="4" t="s">
        <v>347</v>
      </c>
      <c r="B29" s="4" t="s">
        <v>636</v>
      </c>
      <c r="C29" s="4" t="s">
        <v>610</v>
      </c>
    </row>
    <row r="30" spans="1:3" ht="15" customHeight="1" x14ac:dyDescent="0.2">
      <c r="A30" s="4" t="s">
        <v>252</v>
      </c>
      <c r="B30" s="4" t="s">
        <v>637</v>
      </c>
      <c r="C30" s="4" t="s">
        <v>610</v>
      </c>
    </row>
    <row r="31" spans="1:3" ht="15" customHeight="1" x14ac:dyDescent="0.2">
      <c r="A31" s="4" t="s">
        <v>367</v>
      </c>
      <c r="B31" s="4" t="s">
        <v>638</v>
      </c>
      <c r="C31" s="4" t="s">
        <v>610</v>
      </c>
    </row>
    <row r="32" spans="1:3" ht="15" customHeight="1" x14ac:dyDescent="0.2">
      <c r="A32" s="4" t="s">
        <v>294</v>
      </c>
      <c r="B32" s="4" t="s">
        <v>639</v>
      </c>
      <c r="C32" s="4" t="s">
        <v>610</v>
      </c>
    </row>
    <row r="33" spans="1:3" ht="15" customHeight="1" x14ac:dyDescent="0.2">
      <c r="A33" s="4" t="s">
        <v>37</v>
      </c>
      <c r="B33" s="4" t="s">
        <v>640</v>
      </c>
      <c r="C33" s="4" t="s">
        <v>610</v>
      </c>
    </row>
    <row r="34" spans="1:3" ht="15" customHeight="1" x14ac:dyDescent="0.2">
      <c r="A34" s="4" t="s">
        <v>641</v>
      </c>
      <c r="B34" s="4" t="s">
        <v>642</v>
      </c>
      <c r="C34" s="4" t="s">
        <v>610</v>
      </c>
    </row>
    <row r="35" spans="1:3" ht="15" customHeight="1" x14ac:dyDescent="0.2">
      <c r="A35" s="4" t="s">
        <v>121</v>
      </c>
      <c r="B35" s="4" t="s">
        <v>643</v>
      </c>
      <c r="C35" s="4" t="s">
        <v>610</v>
      </c>
    </row>
    <row r="36" spans="1:3" ht="15" customHeight="1" x14ac:dyDescent="0.2">
      <c r="A36" s="4" t="s">
        <v>644</v>
      </c>
      <c r="B36" s="4" t="s">
        <v>645</v>
      </c>
      <c r="C36" s="4" t="s">
        <v>610</v>
      </c>
    </row>
    <row r="37" spans="1:3" ht="15" customHeight="1" x14ac:dyDescent="0.2">
      <c r="A37" s="4" t="s">
        <v>53</v>
      </c>
      <c r="B37" s="4" t="s">
        <v>646</v>
      </c>
      <c r="C37" s="4" t="s">
        <v>610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0" customWidth="1"/>
  </cols>
  <sheetData>
    <row r="1" spans="1:2" ht="17.25" customHeight="1" x14ac:dyDescent="0.2">
      <c r="A1" s="5" t="s">
        <v>647</v>
      </c>
    </row>
    <row r="3" spans="1:2" ht="15" customHeight="1" x14ac:dyDescent="0.2">
      <c r="A3" s="6" t="s">
        <v>6</v>
      </c>
      <c r="B3" s="6" t="s">
        <v>648</v>
      </c>
    </row>
    <row r="4" spans="1:2" ht="15" customHeight="1" x14ac:dyDescent="0.2">
      <c r="A4" s="7" t="s">
        <v>16</v>
      </c>
      <c r="B4" s="8">
        <f>COUNTIF(Profiles!$G$2:$G$101,A4)</f>
        <v>58</v>
      </c>
    </row>
    <row r="5" spans="1:2" ht="15" customHeight="1" x14ac:dyDescent="0.2">
      <c r="A5" s="7" t="s">
        <v>75</v>
      </c>
      <c r="B5" s="8">
        <f>COUNTIF(Profiles!$G$2:$G$101,A5)</f>
        <v>20</v>
      </c>
    </row>
    <row r="6" spans="1:2" ht="15" customHeight="1" x14ac:dyDescent="0.2">
      <c r="A6" s="7" t="s">
        <v>26</v>
      </c>
      <c r="B6" s="8">
        <f>COUNTIF(Profiles!$G$2:$G$101,A6)</f>
        <v>22</v>
      </c>
    </row>
    <row r="7" spans="1:2" ht="15" customHeight="1" x14ac:dyDescent="0.2">
      <c r="A7" s="9" t="s">
        <v>649</v>
      </c>
      <c r="B7" s="10">
        <f>SUM(B4:B6)</f>
        <v>100</v>
      </c>
    </row>
    <row r="8" spans="1:2" ht="15" customHeight="1" x14ac:dyDescent="0.2">
      <c r="A8" s="11"/>
      <c r="B8" s="12"/>
    </row>
    <row r="9" spans="1:2" ht="15" customHeight="1" x14ac:dyDescent="0.2">
      <c r="A9" s="13" t="s">
        <v>7</v>
      </c>
      <c r="B9" s="14" t="s">
        <v>648</v>
      </c>
    </row>
    <row r="10" spans="1:2" ht="15" customHeight="1" x14ac:dyDescent="0.2">
      <c r="A10" s="7" t="s">
        <v>588</v>
      </c>
      <c r="B10" s="8">
        <f>COUNTIF(Profiles!$H$2:$H$101,A10)</f>
        <v>4</v>
      </c>
    </row>
    <row r="11" spans="1:2" ht="15" customHeight="1" x14ac:dyDescent="0.2">
      <c r="A11" s="7" t="s">
        <v>542</v>
      </c>
      <c r="B11" s="8">
        <f>COUNTIF(Profiles!$H$2:$H$101,A11)</f>
        <v>10</v>
      </c>
    </row>
    <row r="12" spans="1:2" ht="15" customHeight="1" x14ac:dyDescent="0.2">
      <c r="A12" s="7" t="s">
        <v>174</v>
      </c>
      <c r="B12" s="8">
        <f>COUNTIF(Profiles!$H$2:$H$101,A12)</f>
        <v>28</v>
      </c>
    </row>
    <row r="13" spans="1:2" ht="15" customHeight="1" x14ac:dyDescent="0.2">
      <c r="A13" s="7" t="s">
        <v>27</v>
      </c>
      <c r="B13" s="8">
        <f>COUNTIF(Profiles!$H$2:$H$101,A13)</f>
        <v>37</v>
      </c>
    </row>
    <row r="14" spans="1:2" ht="15" customHeight="1" x14ac:dyDescent="0.2">
      <c r="A14" s="7" t="s">
        <v>36</v>
      </c>
      <c r="B14" s="8">
        <f>COUNTIF(Profiles!$H$2:$H$101,A14)</f>
        <v>19</v>
      </c>
    </row>
    <row r="15" spans="1:2" ht="15" customHeight="1" x14ac:dyDescent="0.2">
      <c r="A15" s="7" t="s">
        <v>17</v>
      </c>
      <c r="B15" s="8">
        <f>COUNTIF(Profiles!$H$2:$H$101,A15)</f>
        <v>2</v>
      </c>
    </row>
    <row r="16" spans="1:2" ht="15" customHeight="1" x14ac:dyDescent="0.2">
      <c r="A16" s="9" t="s">
        <v>649</v>
      </c>
      <c r="B16" s="10">
        <f>SUM(B10:B15)</f>
        <v>100</v>
      </c>
    </row>
    <row r="17" spans="1:2" ht="15" customHeight="1" x14ac:dyDescent="0.2">
      <c r="A17" s="11"/>
      <c r="B17" s="12"/>
    </row>
    <row r="18" spans="1:2" ht="15" customHeight="1" x14ac:dyDescent="0.2">
      <c r="A18" s="13" t="s">
        <v>5</v>
      </c>
      <c r="B18" s="14" t="s">
        <v>648</v>
      </c>
    </row>
    <row r="19" spans="1:2" ht="15" customHeight="1" x14ac:dyDescent="0.2">
      <c r="A19" s="7">
        <v>2005</v>
      </c>
      <c r="B19" s="8">
        <f>COUNTIF(Profiles!$F$2:$F$101,A19)</f>
        <v>5</v>
      </c>
    </row>
    <row r="20" spans="1:2" ht="15" customHeight="1" x14ac:dyDescent="0.2">
      <c r="A20" s="7">
        <v>2006</v>
      </c>
      <c r="B20" s="8">
        <f>COUNTIF(Profiles!$F$2:$F$101,A20)</f>
        <v>5</v>
      </c>
    </row>
    <row r="21" spans="1:2" ht="15" customHeight="1" x14ac:dyDescent="0.2">
      <c r="A21" s="7">
        <v>2007</v>
      </c>
      <c r="B21" s="8">
        <f>COUNTIF(Profiles!$F$2:$F$101,A21)</f>
        <v>5</v>
      </c>
    </row>
    <row r="22" spans="1:2" ht="15" customHeight="1" x14ac:dyDescent="0.2">
      <c r="A22" s="7">
        <v>2008</v>
      </c>
      <c r="B22" s="8">
        <f>COUNTIF(Profiles!$F$2:$F$101,A22)</f>
        <v>4</v>
      </c>
    </row>
    <row r="23" spans="1:2" ht="15" customHeight="1" x14ac:dyDescent="0.2">
      <c r="A23" s="7">
        <v>2009</v>
      </c>
      <c r="B23" s="8">
        <f>COUNTIF(Profiles!$F$2:$F$101,A23)</f>
        <v>5</v>
      </c>
    </row>
    <row r="24" spans="1:2" ht="15" customHeight="1" x14ac:dyDescent="0.2">
      <c r="A24" s="7">
        <v>2010</v>
      </c>
      <c r="B24" s="8">
        <f>COUNTIF(Profiles!$F$2:$F$101,A24)</f>
        <v>5</v>
      </c>
    </row>
    <row r="25" spans="1:2" ht="15" customHeight="1" x14ac:dyDescent="0.2">
      <c r="A25" s="7">
        <v>2011</v>
      </c>
      <c r="B25" s="8">
        <f>COUNTIF(Profiles!$F$2:$F$101,A25)</f>
        <v>5</v>
      </c>
    </row>
    <row r="26" spans="1:2" ht="15" customHeight="1" x14ac:dyDescent="0.2">
      <c r="A26" s="7">
        <v>2012</v>
      </c>
      <c r="B26" s="8">
        <f>COUNTIF(Profiles!$F$2:$F$101,A26)</f>
        <v>5</v>
      </c>
    </row>
    <row r="27" spans="1:2" ht="15" customHeight="1" x14ac:dyDescent="0.2">
      <c r="A27" s="7">
        <v>2013</v>
      </c>
      <c r="B27" s="8">
        <f>COUNTIF(Profiles!$F$2:$F$101,A27)</f>
        <v>5</v>
      </c>
    </row>
    <row r="28" spans="1:2" ht="15" customHeight="1" x14ac:dyDescent="0.2">
      <c r="A28" s="7">
        <v>2014</v>
      </c>
      <c r="B28" s="8">
        <f>COUNTIF(Profiles!$F$2:$F$101,A28)</f>
        <v>5</v>
      </c>
    </row>
    <row r="29" spans="1:2" ht="15" customHeight="1" x14ac:dyDescent="0.2">
      <c r="A29" s="7">
        <v>2015</v>
      </c>
      <c r="B29" s="8">
        <f>COUNTIF(Profiles!$F$2:$F$101,A29)</f>
        <v>4</v>
      </c>
    </row>
    <row r="30" spans="1:2" ht="15" customHeight="1" x14ac:dyDescent="0.2">
      <c r="A30" s="7">
        <v>2016</v>
      </c>
      <c r="B30" s="8">
        <f>COUNTIF(Profiles!$F$2:$F$101,A30)</f>
        <v>5</v>
      </c>
    </row>
    <row r="31" spans="1:2" ht="15" customHeight="1" x14ac:dyDescent="0.2">
      <c r="A31" s="7">
        <v>2017</v>
      </c>
      <c r="B31" s="8">
        <f>COUNTIF(Profiles!$F$2:$F$101,A31)</f>
        <v>5</v>
      </c>
    </row>
    <row r="32" spans="1:2" ht="15" customHeight="1" x14ac:dyDescent="0.2">
      <c r="A32" s="7">
        <v>2018</v>
      </c>
      <c r="B32" s="8">
        <f>COUNTIF(Profiles!$F$2:$F$101,A32)</f>
        <v>5</v>
      </c>
    </row>
    <row r="33" spans="1:2" ht="15" customHeight="1" x14ac:dyDescent="0.2">
      <c r="A33" s="7">
        <v>2019</v>
      </c>
      <c r="B33" s="8">
        <f>COUNTIF(Profiles!$F$2:$F$101,A33)</f>
        <v>5</v>
      </c>
    </row>
    <row r="34" spans="1:2" ht="15" customHeight="1" x14ac:dyDescent="0.2">
      <c r="A34" s="7">
        <v>2020</v>
      </c>
      <c r="B34" s="8">
        <f>COUNTIF(Profiles!$F$2:$F$101,A34)</f>
        <v>5</v>
      </c>
    </row>
    <row r="35" spans="1:2" ht="15" customHeight="1" x14ac:dyDescent="0.2">
      <c r="A35" s="7">
        <v>2021</v>
      </c>
      <c r="B35" s="8">
        <f>COUNTIF(Profiles!$F$2:$F$101,A35)</f>
        <v>4</v>
      </c>
    </row>
    <row r="36" spans="1:2" ht="15" customHeight="1" x14ac:dyDescent="0.2">
      <c r="A36" s="7">
        <v>2022</v>
      </c>
      <c r="B36" s="8">
        <f>COUNTIF(Profiles!$F$2:$F$101,A36)</f>
        <v>5</v>
      </c>
    </row>
    <row r="37" spans="1:2" ht="15" customHeight="1" x14ac:dyDescent="0.2">
      <c r="A37" s="7">
        <v>2023</v>
      </c>
      <c r="B37" s="8">
        <f>COUNTIF(Profiles!$F$2:$F$101,A37)</f>
        <v>4</v>
      </c>
    </row>
    <row r="38" spans="1:2" ht="15" customHeight="1" x14ac:dyDescent="0.2">
      <c r="A38" s="7">
        <v>2024</v>
      </c>
      <c r="B38" s="8">
        <f>COUNTIF(Profiles!$F$2:$F$101,A38)</f>
        <v>5</v>
      </c>
    </row>
    <row r="39" spans="1:2" ht="15" customHeight="1" x14ac:dyDescent="0.2">
      <c r="A39" s="7">
        <v>2025</v>
      </c>
      <c r="B39" s="8">
        <f>COUNTIF(Profiles!$F$2:$F$101,A39)</f>
        <v>4</v>
      </c>
    </row>
    <row r="40" spans="1:2" ht="15" customHeight="1" x14ac:dyDescent="0.2">
      <c r="A40" s="9" t="s">
        <v>649</v>
      </c>
      <c r="B40" s="10">
        <f>SUM(B19:B39)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5" customHeight="1" x14ac:dyDescent="0.2">
      <c r="A1" s="15" t="s">
        <v>650</v>
      </c>
    </row>
    <row r="2" spans="1:1" ht="15" customHeight="1" x14ac:dyDescent="0.2">
      <c r="A2" s="16" t="s">
        <v>651</v>
      </c>
    </row>
    <row r="3" spans="1:1" ht="23.25" customHeight="1" x14ac:dyDescent="0.2">
      <c r="A3" s="16" t="s">
        <v>652</v>
      </c>
    </row>
    <row r="4" spans="1:1" ht="15" customHeight="1" x14ac:dyDescent="0.2">
      <c r="A4" s="16" t="s">
        <v>653</v>
      </c>
    </row>
    <row r="5" spans="1:1" ht="15" customHeight="1" x14ac:dyDescent="0.2">
      <c r="A5" s="16" t="s">
        <v>654</v>
      </c>
    </row>
    <row r="6" spans="1:1" ht="23.25" customHeight="1" x14ac:dyDescent="0.2">
      <c r="A6" s="16" t="s">
        <v>655</v>
      </c>
    </row>
    <row r="7" spans="1:1" ht="15" customHeight="1" x14ac:dyDescent="0.2">
      <c r="A7" s="16" t="s">
        <v>656</v>
      </c>
    </row>
    <row r="8" spans="1:1" ht="23.25" customHeight="1" x14ac:dyDescent="0.2">
      <c r="A8" s="16" t="s">
        <v>657</v>
      </c>
    </row>
    <row r="9" spans="1:1" ht="23.25" customHeight="1" x14ac:dyDescent="0.2">
      <c r="A9" s="16" t="s">
        <v>658</v>
      </c>
    </row>
    <row r="10" spans="1:1" ht="15" customHeight="1" x14ac:dyDescent="0.2">
      <c r="A10" s="16" t="s">
        <v>659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Profiles</vt:lpstr>
      <vt:lpstr>AFSC Reference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Rose, Mitch</cp:lastModifiedBy>
  <cp:revision>0</cp:revision>
  <dcterms:created xsi:type="dcterms:W3CDTF">2026-10-26T01:59:41Z</dcterms:created>
  <dcterms:modified xsi:type="dcterms:W3CDTF">2026-10-26T02:03:20Z</dcterms:modified>
  <dc:language>en-US</dc:language>
</cp:coreProperties>
</file>